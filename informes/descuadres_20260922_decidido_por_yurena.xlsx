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50" yWindow="450" windowWidth="2040" windowHeight="1185"/>
  </bookViews>
  <sheets>
    <sheet name="Descuadres por cliente" sheetId="1" r:id="rId1"/>
    <sheet name="Resumen por cliente" sheetId="2" r:id="rId2"/>
    <sheet name="Como leerlo" sheetId="3" r:id="rId3"/>
  </sheets>
  <definedNames>
    <definedName name="_xlnm._FilterDatabase" localSheetId="0" hidden="1">'Descuadres por cliente'!$A$8:$Q$112</definedName>
  </definedNames>
  <calcPr calcId="125725"/>
</workbook>
</file>

<file path=xl/calcChain.xml><?xml version="1.0" encoding="utf-8"?>
<calcChain xmlns="http://schemas.openxmlformats.org/spreadsheetml/2006/main">
  <c r="E29" i="2"/>
  <c r="F29" s="1"/>
  <c r="D29"/>
  <c r="C29"/>
  <c r="B29"/>
  <c r="E28"/>
  <c r="D28"/>
  <c r="C28"/>
  <c r="B28"/>
  <c r="E27"/>
  <c r="D27"/>
  <c r="F27" s="1"/>
  <c r="C27"/>
  <c r="B27"/>
  <c r="E26"/>
  <c r="F26" s="1"/>
  <c r="D26"/>
  <c r="C26"/>
  <c r="B26"/>
  <c r="E25"/>
  <c r="F25" s="1"/>
  <c r="D25"/>
  <c r="C25"/>
  <c r="B25"/>
  <c r="E24"/>
  <c r="D24"/>
  <c r="F24" s="1"/>
  <c r="C24"/>
  <c r="B24"/>
  <c r="E23"/>
  <c r="D23"/>
  <c r="C23"/>
  <c r="B23"/>
  <c r="E22"/>
  <c r="D22"/>
  <c r="C22"/>
  <c r="B22"/>
  <c r="E21"/>
  <c r="D21"/>
  <c r="C21"/>
  <c r="B21"/>
  <c r="E20"/>
  <c r="F20" s="1"/>
  <c r="D20"/>
  <c r="C20"/>
  <c r="B20"/>
  <c r="E19"/>
  <c r="F19" s="1"/>
  <c r="D19"/>
  <c r="C19"/>
  <c r="B19"/>
  <c r="E18"/>
  <c r="F18" s="1"/>
  <c r="D18"/>
  <c r="C18"/>
  <c r="B18"/>
  <c r="E17"/>
  <c r="F17" s="1"/>
  <c r="D17"/>
  <c r="C17"/>
  <c r="B17"/>
  <c r="E16"/>
  <c r="D16"/>
  <c r="C16"/>
  <c r="B16"/>
  <c r="E15"/>
  <c r="F15" s="1"/>
  <c r="D15"/>
  <c r="C15"/>
  <c r="B15"/>
  <c r="E14"/>
  <c r="D14"/>
  <c r="C14"/>
  <c r="B14"/>
  <c r="E13"/>
  <c r="F13" s="1"/>
  <c r="D13"/>
  <c r="C13"/>
  <c r="B13"/>
  <c r="E12"/>
  <c r="F12" s="1"/>
  <c r="D12"/>
  <c r="C12"/>
  <c r="B12"/>
  <c r="E11"/>
  <c r="D11"/>
  <c r="C11"/>
  <c r="B11"/>
  <c r="E10"/>
  <c r="F10" s="1"/>
  <c r="D10"/>
  <c r="C10"/>
  <c r="B10"/>
  <c r="E9"/>
  <c r="F9" s="1"/>
  <c r="D9"/>
  <c r="C9"/>
  <c r="B9"/>
  <c r="E8"/>
  <c r="D8"/>
  <c r="C8"/>
  <c r="B8"/>
  <c r="E7"/>
  <c r="F7" s="1"/>
  <c r="D7"/>
  <c r="C7"/>
  <c r="B7"/>
  <c r="F6"/>
  <c r="E6"/>
  <c r="D6"/>
  <c r="C6"/>
  <c r="B6"/>
  <c r="E5"/>
  <c r="F5" s="1"/>
  <c r="D5"/>
  <c r="C5"/>
  <c r="B5"/>
  <c r="I114" i="1"/>
  <c r="J114" s="1"/>
  <c r="H114"/>
  <c r="G114"/>
  <c r="I112"/>
  <c r="H112"/>
  <c r="G112"/>
  <c r="N111"/>
  <c r="J111"/>
  <c r="J112" s="1"/>
  <c r="I108"/>
  <c r="H108"/>
  <c r="G108"/>
  <c r="N107"/>
  <c r="J107"/>
  <c r="J108" s="1"/>
  <c r="I104"/>
  <c r="H104"/>
  <c r="G104"/>
  <c r="N103"/>
  <c r="J103"/>
  <c r="J104" s="1"/>
  <c r="I100"/>
  <c r="H100"/>
  <c r="G100"/>
  <c r="N99"/>
  <c r="J99"/>
  <c r="N98"/>
  <c r="J98"/>
  <c r="J100" s="1"/>
  <c r="I95"/>
  <c r="H95"/>
  <c r="G95"/>
  <c r="N94"/>
  <c r="J94"/>
  <c r="J95" s="1"/>
  <c r="I91"/>
  <c r="H91"/>
  <c r="G91"/>
  <c r="N90"/>
  <c r="J90"/>
  <c r="J91" s="1"/>
  <c r="I87"/>
  <c r="H87"/>
  <c r="G87"/>
  <c r="N86"/>
  <c r="J86"/>
  <c r="J87" s="1"/>
  <c r="I83"/>
  <c r="H83"/>
  <c r="G83"/>
  <c r="N82"/>
  <c r="J82"/>
  <c r="N81"/>
  <c r="J81"/>
  <c r="J83" s="1"/>
  <c r="J78"/>
  <c r="I78"/>
  <c r="H78"/>
  <c r="G78"/>
  <c r="N77"/>
  <c r="J77"/>
  <c r="J74"/>
  <c r="I74"/>
  <c r="H74"/>
  <c r="G74"/>
  <c r="N73"/>
  <c r="J73"/>
  <c r="J70"/>
  <c r="I70"/>
  <c r="H70"/>
  <c r="G70"/>
  <c r="N69"/>
  <c r="J69"/>
  <c r="J66"/>
  <c r="I66"/>
  <c r="H66"/>
  <c r="G66"/>
  <c r="N65"/>
  <c r="J65"/>
  <c r="J62"/>
  <c r="I62"/>
  <c r="H62"/>
  <c r="G62"/>
  <c r="N61"/>
  <c r="J61"/>
  <c r="J58"/>
  <c r="I58"/>
  <c r="H58"/>
  <c r="G58"/>
  <c r="N57"/>
  <c r="J57"/>
  <c r="J54"/>
  <c r="I54"/>
  <c r="H54"/>
  <c r="G54"/>
  <c r="N53"/>
  <c r="J53"/>
  <c r="J50"/>
  <c r="I50"/>
  <c r="H50"/>
  <c r="G50"/>
  <c r="N49"/>
  <c r="J49"/>
  <c r="J46"/>
  <c r="I46"/>
  <c r="H46"/>
  <c r="G46"/>
  <c r="N45"/>
  <c r="J45"/>
  <c r="J42"/>
  <c r="I42"/>
  <c r="H42"/>
  <c r="G42"/>
  <c r="N41"/>
  <c r="J41"/>
  <c r="J38"/>
  <c r="I38"/>
  <c r="H38"/>
  <c r="G38"/>
  <c r="N37"/>
  <c r="J37"/>
  <c r="J34"/>
  <c r="I34"/>
  <c r="H34"/>
  <c r="G34"/>
  <c r="N33"/>
  <c r="J33"/>
  <c r="J30"/>
  <c r="I30"/>
  <c r="H30"/>
  <c r="G30"/>
  <c r="N29"/>
  <c r="J29"/>
  <c r="N28"/>
  <c r="J28"/>
  <c r="N27"/>
  <c r="J27"/>
  <c r="I24"/>
  <c r="H24"/>
  <c r="G24"/>
  <c r="N23"/>
  <c r="J23"/>
  <c r="N22"/>
  <c r="J22"/>
  <c r="J24" s="1"/>
  <c r="J19"/>
  <c r="I19"/>
  <c r="H19"/>
  <c r="G19"/>
  <c r="N18"/>
  <c r="J18"/>
  <c r="J15"/>
  <c r="I15"/>
  <c r="H15"/>
  <c r="G15"/>
  <c r="N14"/>
  <c r="J14"/>
  <c r="J11"/>
  <c r="I11"/>
  <c r="H11"/>
  <c r="G11"/>
  <c r="N10"/>
  <c r="J10"/>
  <c r="F16" i="2" l="1"/>
  <c r="F8"/>
  <c r="F11"/>
  <c r="F14"/>
  <c r="F21"/>
  <c r="F28"/>
  <c r="D30"/>
  <c r="C30"/>
  <c r="F22"/>
  <c r="B30"/>
  <c r="F23"/>
  <c r="E30"/>
  <c r="F30" l="1"/>
</calcChain>
</file>

<file path=xl/comments1.xml><?xml version="1.0" encoding="utf-8"?>
<comments xmlns="http://schemas.openxmlformats.org/spreadsheetml/2006/main">
  <authors>
    <author>Panel Araya</author>
  </authors>
  <commentList>
    <comment ref="H8" authorId="0">
      <text>
        <r>
          <rPr>
            <sz val="11"/>
            <color theme="1"/>
            <rFont val="Calibri"/>
            <family val="2"/>
            <scheme val="minor"/>
          </rPr>
          <t>Es la casilla importe_cobrado de la ficha de la factura.</t>
        </r>
      </text>
    </comment>
    <comment ref="I8" authorId="0">
      <text>
        <r>
          <rPr>
            <sz val="11"/>
            <color theme="1"/>
            <rFont val="Calibri"/>
            <family val="2"/>
            <scheme val="minor"/>
          </rPr>
          <t>Es la suma de los cobros anotados uno a uno en la factura.</t>
        </r>
      </text>
    </comment>
    <comment ref="N8" authorId="0">
      <text>
        <r>
          <rPr>
            <sz val="11"/>
            <color theme="1"/>
            <rFont val="Calibri"/>
            <family val="2"/>
            <scheme val="minor"/>
          </rPr>
          <t>Lo que el panel da hoy por pendiente. Se calcula con la mayor de las dos cifras, por eso el descuadre no infla la deuda.</t>
        </r>
      </text>
    </comment>
  </commentList>
</comments>
</file>

<file path=xl/sharedStrings.xml><?xml version="1.0" encoding="utf-8"?>
<sst xmlns="http://schemas.openxmlformats.org/spreadsheetml/2006/main" count="300" uniqueCount="169">
  <si>
    <t>Transportes Araya Franquiz</t>
  </si>
  <si>
    <t>Facturas donde el importe cobrado de la ficha no cuadra con la suma de sus cobros</t>
  </si>
  <si>
    <t>Listado a 22/09/2026  ·  30 facturas de 25 clientes</t>
  </si>
  <si>
    <t>Para que sirve: en cada una de estas facturas hay dos cifras de lo cobrado que no coinciden. Una es la casilla "importe cobrado" de la ficha de la factura; la otra es lo que suman los cobros anotados uno a uno. Hay que decidir cual de las dos es la buena. Escribe tu decision en las dos ultimas columnas, las amarillas.</t>
  </si>
  <si>
    <t>Ojo: esto NO infla la deuda del panel. El informe de pendientes se queda con la mayor de las dos cifras, asi que nadie aparece debiendo de mas por esto. Lo que si hace es enganar a lo que lea la casilla a pelo.</t>
  </si>
  <si>
    <t>Cliente</t>
  </si>
  <si>
    <t>CIF</t>
  </si>
  <si>
    <t>Factura</t>
  </si>
  <si>
    <t>Fecha</t>
  </si>
  <si>
    <t>Estado</t>
  </si>
  <si>
    <t>Estado en Factusol</t>
  </si>
  <si>
    <t>Total</t>
  </si>
  <si>
    <t>Importe cobrado (ficha)</t>
  </si>
  <si>
    <t>Cobros anotados</t>
  </si>
  <si>
    <t>Diferencia</t>
  </si>
  <si>
    <t>Nº cobros</t>
  </si>
  <si>
    <t>Primer cobro</t>
  </si>
  <si>
    <t>Ultimo cobro</t>
  </si>
  <si>
    <t>Pendiente en el panel</t>
  </si>
  <si>
    <t>Que le pasa</t>
  </si>
  <si>
    <t>Cual es el bueno</t>
  </si>
  <si>
    <t>Notas</t>
  </si>
  <si>
    <t>ALEGRANZA.S-L</t>
  </si>
  <si>
    <t>B-35511484</t>
  </si>
  <si>
    <t>190734</t>
  </si>
  <si>
    <t>Cobrada</t>
  </si>
  <si>
    <t>2 Cobrada</t>
  </si>
  <si>
    <t>Faltan cobros por anotar, o la columna se quedo por encima</t>
  </si>
  <si>
    <t>Suma de ALEGRANZA.S-L</t>
  </si>
  <si>
    <t>Andreas Wenger,</t>
  </si>
  <si>
    <t>Y7798675X.</t>
  </si>
  <si>
    <t>230469</t>
  </si>
  <si>
    <t>Suma de Andreas Wenger,</t>
  </si>
  <si>
    <t>ANTIGUACONTROL SOCIEDAD LIMITADA (ALISIOS)  CONTROL MAX</t>
  </si>
  <si>
    <t>b76318351</t>
  </si>
  <si>
    <t>210810</t>
  </si>
  <si>
    <t>La columna dice justo el doble de lo que suman los cobros</t>
  </si>
  <si>
    <t>Suma de ANTIGUACONTROL SOCIEDAD LIMITADA (ALISIOS)  CONTROL MAX</t>
  </si>
  <si>
    <t>BLUE DOLPHIN HOTEL OPERATING AND ADMINISTRATION FUERTEVENTURA, S.L.</t>
  </si>
  <si>
    <t>B86677333</t>
  </si>
  <si>
    <t>200197</t>
  </si>
  <si>
    <t>230729</t>
  </si>
  <si>
    <t>Suma de BLUE DOLPHIN HOTEL OPERATING AND ADMINISTRATION FUERTEVENTURA, S.L.</t>
  </si>
  <si>
    <t>CANARAGUA CONCESIONES, S.A.U</t>
  </si>
  <si>
    <t>A76624345</t>
  </si>
  <si>
    <t>190222</t>
  </si>
  <si>
    <t>200029</t>
  </si>
  <si>
    <t>200069</t>
  </si>
  <si>
    <t>Suma de CANARAGUA CONCESIONES, S.A.U</t>
  </si>
  <si>
    <t>CLOE LORENZO S.L</t>
  </si>
  <si>
    <t>B76370667</t>
  </si>
  <si>
    <t>210644</t>
  </si>
  <si>
    <t>Pendiente</t>
  </si>
  <si>
    <t>1 Cobro parcial</t>
  </si>
  <si>
    <t>La columna esta a cero pero si hay cobros anotados</t>
  </si>
  <si>
    <t>Suma de CLOE LORENZO S.L</t>
  </si>
  <si>
    <t>CLUB MISTRAL FUERTEVENTURA, S.L.</t>
  </si>
  <si>
    <t>3429</t>
  </si>
  <si>
    <t>Suma de CLUB MISTRAL FUERTEVENTURA, S.L.</t>
  </si>
  <si>
    <t>ECOLOGIA Y CONSTRUCCION FESUMAR SL</t>
  </si>
  <si>
    <t>B76055839</t>
  </si>
  <si>
    <t>220664</t>
  </si>
  <si>
    <t>Suma de ECOLOGIA Y CONSTRUCCION FESUMAR SL</t>
  </si>
  <si>
    <t>ECOTRANS 2000, S.L.</t>
  </si>
  <si>
    <t>B38626073</t>
  </si>
  <si>
    <t>190529</t>
  </si>
  <si>
    <t>Suma de ECOTRANS 2000, S.L.</t>
  </si>
  <si>
    <t>EL CAMILO COSILN, S.L</t>
  </si>
  <si>
    <t>B76190701</t>
  </si>
  <si>
    <t>3749</t>
  </si>
  <si>
    <t>Suma de EL CAMILO COSILN, S.L</t>
  </si>
  <si>
    <t>ELITEPLAC, S.L.U</t>
  </si>
  <si>
    <t>B76280031</t>
  </si>
  <si>
    <t>3346</t>
  </si>
  <si>
    <t>Suma de ELITEPLAC, S.L.U</t>
  </si>
  <si>
    <t>FAUSTINO</t>
  </si>
  <si>
    <t>220392</t>
  </si>
  <si>
    <t>Suma de FAUSTINO</t>
  </si>
  <si>
    <t>FERPASOL S.L</t>
  </si>
  <si>
    <t>B35126150</t>
  </si>
  <si>
    <t>200115</t>
  </si>
  <si>
    <t>Suma de FERPASOL S.L</t>
  </si>
  <si>
    <t>GEFUER SOCIEDAD LIMITADA</t>
  </si>
  <si>
    <t>B76306281</t>
  </si>
  <si>
    <t>230985</t>
  </si>
  <si>
    <t>0 Pendiente</t>
  </si>
  <si>
    <t>Suma de GEFUER SOCIEDAD LIMITADA</t>
  </si>
  <si>
    <t>GEOTECNIA PERFORACIONES DOMINGUEZ, S.L</t>
  </si>
  <si>
    <t>B76204551</t>
  </si>
  <si>
    <t>3102</t>
  </si>
  <si>
    <t>Suma de GEOTECNIA PERFORACIONES DOMINGUEZ, S.L</t>
  </si>
  <si>
    <t>GRUPO SUPERIOR DE FORMACION CANARIAS SL</t>
  </si>
  <si>
    <t>B35680230</t>
  </si>
  <si>
    <t>250532</t>
  </si>
  <si>
    <t>Suma de GRUPO SUPERIOR DE FORMACION CANARIAS SL</t>
  </si>
  <si>
    <t>HORPAVI 3000, S.L</t>
  </si>
  <si>
    <t>B76282094</t>
  </si>
  <si>
    <t>220457</t>
  </si>
  <si>
    <t>La columna pasa del total de la factura: parece contado dos veces</t>
  </si>
  <si>
    <t>Suma de HORPAVI 3000, S.L</t>
  </si>
  <si>
    <t>LUPIDOS MANAGENMENT, S.L.</t>
  </si>
  <si>
    <t>B76193226</t>
  </si>
  <si>
    <t>4491</t>
  </si>
  <si>
    <t>190041</t>
  </si>
  <si>
    <t>Suma de LUPIDOS MANAGENMENT, S.L.</t>
  </si>
  <si>
    <t>OBRAS PUBLICAS CANARIAS, S.L  OPC</t>
  </si>
  <si>
    <t>B76140953</t>
  </si>
  <si>
    <t>2985</t>
  </si>
  <si>
    <t>Suma de OBRAS PUBLICAS CANARIAS, S.L  OPC</t>
  </si>
  <si>
    <t>PREFABRICADOS MARTIN BRITO S.L</t>
  </si>
  <si>
    <t>B35431303</t>
  </si>
  <si>
    <t>3452</t>
  </si>
  <si>
    <t>Suma de PREFABRICADOS MARTIN BRITO S.L</t>
  </si>
  <si>
    <t>RANCHO JANDIA, S.L.</t>
  </si>
  <si>
    <t>B76172873</t>
  </si>
  <si>
    <t>200049</t>
  </si>
  <si>
    <t>Suma de RANCHO JANDIA, S.L.</t>
  </si>
  <si>
    <t>RODRIGUEZ LOPEZ ALTAVISTA, S.L.</t>
  </si>
  <si>
    <t>B35771807</t>
  </si>
  <si>
    <t>4311</t>
  </si>
  <si>
    <t>230861</t>
  </si>
  <si>
    <t>Suma de RODRIGUEZ LOPEZ ALTAVISTA, S.L.</t>
  </si>
  <si>
    <t>SOLYMAR BEACH</t>
  </si>
  <si>
    <t>Y1350944F</t>
  </si>
  <si>
    <t>260431</t>
  </si>
  <si>
    <t>Suma de SOLYMAR BEACH</t>
  </si>
  <si>
    <t>STEFAN  SCHOLZ.</t>
  </si>
  <si>
    <t>230174</t>
  </si>
  <si>
    <t>Suma de STEFAN  SCHOLZ.</t>
  </si>
  <si>
    <t>ZERO DID, S.L</t>
  </si>
  <si>
    <t>B76346592</t>
  </si>
  <si>
    <t>230809</t>
  </si>
  <si>
    <t>Suma de ZERO DID, S.L</t>
  </si>
  <si>
    <t>TOTAL de las 30 facturas</t>
  </si>
  <si>
    <t>Resumen por cliente</t>
  </si>
  <si>
    <t>Cuantas facturas descuadran en cada cliente y por cuanto. Se calcula solo desde la otra hoja.</t>
  </si>
  <si>
    <t>Facturas</t>
  </si>
  <si>
    <t>Total facturado</t>
  </si>
  <si>
    <t>TOTAL</t>
  </si>
  <si>
    <t>Como leer este listado</t>
  </si>
  <si>
    <t>Que es esto</t>
  </si>
  <si>
    <t>Cada factura de aqui tiene dos cifras de lo cobrado que no coinciden: la casilla "importe cobrado" de su ficha, y lo que suman los cobros anotados uno a uno. Hay que decidir cual es la buena.</t>
  </si>
  <si>
    <t>Donde escribes tu</t>
  </si>
  <si>
    <t>En las dos columnas amarillas de la otra hoja: "Cual es el bueno" (con desplegable) y "Notas". El resto no hay que tocarlo.</t>
  </si>
  <si>
    <t>Las opciones del desplegable</t>
  </si>
  <si>
    <t>La casilla de la ficha</t>
  </si>
  <si>
    <t>La cifra buena es la de la ficha. Entonces faltan cobros por anotar en el panel.</t>
  </si>
  <si>
    <t>Los cobros anotados</t>
  </si>
  <si>
    <t>La cifra buena es la suma de los cobros. Entonces hay que corregir la casilla de la ficha.</t>
  </si>
  <si>
    <t>Hay cobros sin anotar</t>
  </si>
  <si>
    <t>Se cobro de verdad, pero ese cobro no llego nunca al panel. Hay que meterlo con su fecha.</t>
  </si>
  <si>
    <t>Es confirming o factoring</t>
  </si>
  <si>
    <t>El dinero entro por el banco de otra manera y por eso no hay cobro anotado.</t>
  </si>
  <si>
    <t>Otra cosa - ver notas</t>
  </si>
  <si>
    <t>Cualquier otro caso. Explicalo en la columna de Notas.</t>
  </si>
  <si>
    <t>Lo que NO pasa</t>
  </si>
  <si>
    <t>Esto no hace que nadie aparezca debiendo de mas. El informe de pendientes de cobro se queda siempre con la mayor de las dos cifras, asi que la deuda que ves es la buena. El descuadre solo enganya a lo que lea la casilla directamente, como le paso al expediente de HUBARA el 21/09/2026.</t>
  </si>
  <si>
    <t>De donde sale</t>
  </si>
  <si>
    <t>De la base del panel, el 22/09/2026: facturas_venta.importe_cobrado frente a la suma de la tabla cobros. Se sacaron las que se diferencian en mas de un centimo y tienen al menos un cobro anotado.</t>
  </si>
  <si>
    <t>esta cobrado completo</t>
  </si>
  <si>
    <t>se quedo por encima</t>
  </si>
  <si>
    <t>esta correcta debe 31,33</t>
  </si>
  <si>
    <t>hay cobros a cuenta pero esta en reclamaciones juzgado</t>
  </si>
  <si>
    <t>pasar a reclamaciones</t>
  </si>
  <si>
    <t>esta cobrada</t>
  </si>
  <si>
    <t>esta cobrada, faltan por anotar cobros</t>
  </si>
  <si>
    <t xml:space="preserve">le queda </t>
  </si>
  <si>
    <t>esta pendiente, poner en reclamaciones</t>
  </si>
  <si>
    <t>cobrada</t>
  </si>
</sst>
</file>

<file path=xl/styles.xml><?xml version="1.0" encoding="utf-8"?>
<styleSheet xmlns="http://schemas.openxmlformats.org/spreadsheetml/2006/main">
  <numFmts count="1">
    <numFmt numFmtId="165" formatCode="#,##0.00\ &quot;€&quot;;[Red]\(#,##0.00\ &quot;€&quot;\);\-"/>
  </numFmts>
  <fonts count="17">
    <font>
      <sz val="11"/>
      <color theme="1"/>
      <name val="Calibri"/>
      <family val="2"/>
      <scheme val="minor"/>
    </font>
    <font>
      <b/>
      <sz val="15"/>
      <color rgb="FF1F3864"/>
      <name val="Arial"/>
    </font>
    <font>
      <sz val="11"/>
      <color rgb="FF595959"/>
      <name val="Arial"/>
    </font>
    <font>
      <sz val="10"/>
      <color rgb="FF808080"/>
      <name val="Arial"/>
    </font>
    <font>
      <i/>
      <sz val="10"/>
      <color rgb="FF595959"/>
      <name val="Arial"/>
    </font>
    <font>
      <i/>
      <sz val="10"/>
      <color rgb="FF806000"/>
      <name val="Arial"/>
    </font>
    <font>
      <b/>
      <sz val="10"/>
      <color rgb="FFFFFFFF"/>
      <name val="Arial"/>
    </font>
    <font>
      <b/>
      <sz val="11"/>
      <color rgb="FF1F3864"/>
      <name val="Arial"/>
    </font>
    <font>
      <b/>
      <sz val="10"/>
      <color rgb="FF1F3864"/>
      <name val="Arial"/>
    </font>
    <font>
      <sz val="10"/>
      <name val="Arial"/>
    </font>
    <font>
      <b/>
      <sz val="10"/>
      <name val="Arial"/>
    </font>
    <font>
      <b/>
      <sz val="11"/>
      <color rgb="FFFFFFFF"/>
      <name val="Arial"/>
    </font>
    <font>
      <b/>
      <sz val="14"/>
      <color rgb="FF1F3864"/>
      <name val="Arial"/>
    </font>
    <font>
      <sz val="11"/>
      <color rgb="FFFF0000"/>
      <name val="Calibri"/>
      <family val="2"/>
      <scheme val="minor"/>
    </font>
    <font>
      <sz val="10"/>
      <color rgb="FFFF0000"/>
      <name val="Arial"/>
      <family val="2"/>
    </font>
    <font>
      <sz val="10"/>
      <name val="Arial"/>
      <family val="2"/>
    </font>
    <font>
      <b/>
      <sz val="11"/>
      <color rgb="FF1F3864"/>
      <name val="Arial"/>
      <family val="2"/>
    </font>
  </fonts>
  <fills count="6">
    <fill>
      <patternFill patternType="none"/>
    </fill>
    <fill>
      <patternFill patternType="gray125"/>
    </fill>
    <fill>
      <patternFill patternType="solid">
        <fgColor rgb="FF1F3864"/>
      </patternFill>
    </fill>
    <fill>
      <patternFill patternType="solid">
        <fgColor rgb="FFDDEBF7"/>
      </patternFill>
    </fill>
    <fill>
      <patternFill patternType="solid">
        <fgColor rgb="FFFFFF99"/>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6" fillId="2" borderId="1" xfId="0" applyFont="1" applyFill="1" applyBorder="1" applyAlignment="1">
      <alignment horizontal="center" vertical="center" wrapText="1"/>
    </xf>
    <xf numFmtId="0" fontId="7" fillId="3" borderId="1" xfId="0" applyFont="1" applyFill="1" applyBorder="1"/>
    <xf numFmtId="0" fontId="8" fillId="3" borderId="1" xfId="0" applyFont="1" applyFill="1" applyBorder="1"/>
    <xf numFmtId="0" fontId="0" fillId="3" borderId="1" xfId="0" applyFill="1" applyBorder="1"/>
    <xf numFmtId="0" fontId="9" fillId="0" borderId="1" xfId="0" applyFont="1" applyBorder="1"/>
    <xf numFmtId="14" fontId="9" fillId="0" borderId="1" xfId="0" applyNumberFormat="1" applyFont="1" applyBorder="1"/>
    <xf numFmtId="165" fontId="9" fillId="0" borderId="1" xfId="0" applyNumberFormat="1" applyFont="1" applyBorder="1"/>
    <xf numFmtId="0" fontId="9" fillId="0" borderId="1" xfId="0" applyFont="1" applyBorder="1" applyAlignment="1">
      <alignment horizontal="center"/>
    </xf>
    <xf numFmtId="0" fontId="9" fillId="0" borderId="1" xfId="0" applyFont="1" applyBorder="1" applyAlignment="1">
      <alignment vertical="top" wrapText="1"/>
    </xf>
    <xf numFmtId="0" fontId="9" fillId="4" borderId="1" xfId="0" applyFont="1" applyFill="1" applyBorder="1"/>
    <xf numFmtId="0" fontId="10" fillId="5" borderId="1" xfId="0" applyFont="1" applyFill="1" applyBorder="1"/>
    <xf numFmtId="0" fontId="10" fillId="5" borderId="1" xfId="0" applyFont="1" applyFill="1" applyBorder="1" applyAlignment="1">
      <alignment horizontal="right"/>
    </xf>
    <xf numFmtId="165" fontId="10" fillId="5" borderId="1" xfId="0" applyNumberFormat="1" applyFont="1" applyFill="1" applyBorder="1"/>
    <xf numFmtId="0" fontId="11" fillId="2" borderId="1" xfId="0" applyFont="1" applyFill="1" applyBorder="1"/>
    <xf numFmtId="0" fontId="11" fillId="2" borderId="1" xfId="0" applyFont="1" applyFill="1" applyBorder="1" applyAlignment="1">
      <alignment horizontal="right"/>
    </xf>
    <xf numFmtId="165" fontId="11" fillId="2" borderId="1" xfId="0" applyNumberFormat="1" applyFont="1" applyFill="1" applyBorder="1"/>
    <xf numFmtId="0" fontId="12" fillId="0" borderId="0" xfId="0" applyFont="1"/>
    <xf numFmtId="0" fontId="4" fillId="0" borderId="0" xfId="0" applyFont="1"/>
    <xf numFmtId="0" fontId="0" fillId="0" borderId="1" xfId="0" applyBorder="1" applyAlignment="1">
      <alignment horizontal="center"/>
    </xf>
    <xf numFmtId="165" fontId="0" fillId="0" borderId="1" xfId="0" applyNumberFormat="1" applyBorder="1"/>
    <xf numFmtId="0" fontId="11" fillId="2" borderId="1" xfId="0" applyFont="1" applyFill="1" applyBorder="1" applyAlignment="1">
      <alignment horizontal="center"/>
    </xf>
    <xf numFmtId="0" fontId="7" fillId="0" borderId="0" xfId="0" applyFont="1"/>
    <xf numFmtId="0" fontId="9" fillId="0" borderId="0" xfId="0" applyFont="1" applyAlignment="1">
      <alignment vertical="top" wrapText="1"/>
    </xf>
    <xf numFmtId="0" fontId="5" fillId="0" borderId="0" xfId="0" applyFont="1"/>
    <xf numFmtId="0" fontId="0" fillId="0" borderId="0" xfId="0"/>
    <xf numFmtId="0" fontId="4" fillId="0" borderId="0" xfId="0" applyFont="1" applyAlignment="1">
      <alignment vertical="top" wrapText="1"/>
    </xf>
    <xf numFmtId="0" fontId="14" fillId="0" borderId="1" xfId="0" applyFont="1" applyBorder="1"/>
    <xf numFmtId="14" fontId="14" fillId="0" borderId="1" xfId="0" applyNumberFormat="1" applyFont="1" applyBorder="1"/>
    <xf numFmtId="165" fontId="14" fillId="0" borderId="1" xfId="0" applyNumberFormat="1" applyFont="1" applyBorder="1"/>
    <xf numFmtId="0" fontId="14" fillId="0" borderId="1" xfId="0" applyFont="1" applyBorder="1" applyAlignment="1">
      <alignment horizontal="center"/>
    </xf>
    <xf numFmtId="0" fontId="14" fillId="0" borderId="1" xfId="0" applyFont="1" applyBorder="1" applyAlignment="1">
      <alignment vertical="top" wrapText="1"/>
    </xf>
    <xf numFmtId="0" fontId="14" fillId="4" borderId="1" xfId="0" applyFont="1" applyFill="1" applyBorder="1"/>
    <xf numFmtId="0" fontId="13" fillId="0" borderId="0" xfId="0" applyFont="1"/>
    <xf numFmtId="0" fontId="15" fillId="4" borderId="1" xfId="0" applyFont="1" applyFill="1" applyBorder="1"/>
    <xf numFmtId="0" fontId="16" fillId="3"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114"/>
  <sheetViews>
    <sheetView showGridLines="0" tabSelected="1" zoomScale="73" zoomScaleNormal="73" workbookViewId="0">
      <pane xSplit="2" ySplit="8" topLeftCell="C9" activePane="bottomRight" state="frozen"/>
      <selection pane="topRight"/>
      <selection pane="bottomLeft"/>
      <selection pane="bottomRight" activeCell="P29" sqref="P29"/>
    </sheetView>
  </sheetViews>
  <sheetFormatPr baseColWidth="10" defaultColWidth="9.140625" defaultRowHeight="15"/>
  <cols>
    <col min="1" max="1" width="42" customWidth="1"/>
    <col min="2" max="2" width="13" customWidth="1"/>
    <col min="3" max="3" width="11" customWidth="1"/>
    <col min="4" max="4" width="12.5703125" customWidth="1"/>
    <col min="5" max="5" width="11" customWidth="1"/>
    <col min="6" max="6" width="16" customWidth="1"/>
    <col min="7" max="7" width="14" customWidth="1"/>
    <col min="8" max="8" width="16" customWidth="1"/>
    <col min="9" max="9" width="15" customWidth="1"/>
    <col min="10" max="10" width="13" customWidth="1"/>
    <col min="11" max="11" width="8" customWidth="1"/>
    <col min="12" max="13" width="12" customWidth="1"/>
    <col min="14" max="14" width="16" customWidth="1"/>
    <col min="15" max="15" width="44" customWidth="1"/>
    <col min="16" max="16" width="26" customWidth="1"/>
    <col min="17" max="17" width="30" customWidth="1"/>
  </cols>
  <sheetData>
    <row r="1" spans="1:17" ht="19.5">
      <c r="A1" s="1" t="s">
        <v>0</v>
      </c>
    </row>
    <row r="2" spans="1:17">
      <c r="A2" s="2" t="s">
        <v>1</v>
      </c>
    </row>
    <row r="3" spans="1:17">
      <c r="A3" s="3" t="s">
        <v>2</v>
      </c>
    </row>
    <row r="5" spans="1:17" ht="39.950000000000003" customHeight="1">
      <c r="A5" s="29" t="s">
        <v>3</v>
      </c>
      <c r="B5" s="28"/>
      <c r="C5" s="28"/>
      <c r="D5" s="28"/>
      <c r="E5" s="28"/>
      <c r="F5" s="28"/>
      <c r="G5" s="28"/>
      <c r="H5" s="28"/>
      <c r="I5" s="28"/>
      <c r="J5" s="28"/>
      <c r="K5" s="28"/>
      <c r="L5" s="28"/>
      <c r="M5" s="28"/>
      <c r="N5" s="28"/>
      <c r="O5" s="28"/>
      <c r="P5" s="28"/>
    </row>
    <row r="6" spans="1:17">
      <c r="A6" s="27" t="s">
        <v>4</v>
      </c>
      <c r="B6" s="28"/>
      <c r="C6" s="28"/>
      <c r="D6" s="28"/>
      <c r="E6" s="28"/>
      <c r="F6" s="28"/>
      <c r="G6" s="28"/>
      <c r="H6" s="28"/>
      <c r="I6" s="28"/>
      <c r="J6" s="28"/>
      <c r="K6" s="28"/>
      <c r="L6" s="28"/>
      <c r="M6" s="28"/>
      <c r="N6" s="28"/>
      <c r="O6" s="28"/>
      <c r="P6" s="28"/>
    </row>
    <row r="8" spans="1:17" ht="33.950000000000003" customHeight="1">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row>
    <row r="9" spans="1:17">
      <c r="A9" s="5" t="s">
        <v>22</v>
      </c>
      <c r="B9" s="6" t="s">
        <v>23</v>
      </c>
      <c r="C9" s="7"/>
      <c r="D9" s="7"/>
      <c r="E9" s="7"/>
      <c r="F9" s="7"/>
      <c r="G9" s="7"/>
      <c r="H9" s="7"/>
      <c r="I9" s="7"/>
      <c r="J9" s="7"/>
      <c r="K9" s="7"/>
      <c r="L9" s="7"/>
      <c r="M9" s="7"/>
      <c r="N9" s="7"/>
      <c r="O9" s="7"/>
      <c r="P9" s="7"/>
      <c r="Q9" s="7"/>
    </row>
    <row r="10" spans="1:17" ht="25.5">
      <c r="A10" s="8"/>
      <c r="B10" s="8"/>
      <c r="C10" s="8" t="s">
        <v>24</v>
      </c>
      <c r="D10" s="9">
        <v>43769</v>
      </c>
      <c r="E10" s="8" t="s">
        <v>25</v>
      </c>
      <c r="F10" s="8" t="s">
        <v>26</v>
      </c>
      <c r="G10" s="10">
        <v>8942.83</v>
      </c>
      <c r="H10" s="10">
        <v>8942.83</v>
      </c>
      <c r="I10" s="10">
        <v>1942.83</v>
      </c>
      <c r="J10" s="10">
        <f>I10-H10</f>
        <v>-7000</v>
      </c>
      <c r="K10" s="11">
        <v>2</v>
      </c>
      <c r="L10" s="9">
        <v>43867</v>
      </c>
      <c r="M10" s="9">
        <v>44505</v>
      </c>
      <c r="N10" s="10">
        <f>G10-MAX(H10,I10)</f>
        <v>0</v>
      </c>
      <c r="O10" s="12" t="s">
        <v>27</v>
      </c>
      <c r="P10" s="37" t="s">
        <v>160</v>
      </c>
      <c r="Q10" s="13" t="s">
        <v>159</v>
      </c>
    </row>
    <row r="11" spans="1:17">
      <c r="A11" s="14"/>
      <c r="B11" s="14"/>
      <c r="C11" s="14"/>
      <c r="D11" s="14"/>
      <c r="E11" s="14"/>
      <c r="F11" s="15" t="s">
        <v>28</v>
      </c>
      <c r="G11" s="16">
        <f>SUM(G10:G10)</f>
        <v>8942.83</v>
      </c>
      <c r="H11" s="16">
        <f>SUM(H10:H10)</f>
        <v>8942.83</v>
      </c>
      <c r="I11" s="16">
        <f>SUM(I10:I10)</f>
        <v>1942.83</v>
      </c>
      <c r="J11" s="16">
        <f>SUM(J10:J10)</f>
        <v>-7000</v>
      </c>
      <c r="K11" s="14"/>
      <c r="L11" s="14"/>
      <c r="M11" s="14"/>
      <c r="N11" s="14"/>
      <c r="O11" s="14"/>
      <c r="P11" s="14"/>
      <c r="Q11" s="14"/>
    </row>
    <row r="13" spans="1:17">
      <c r="A13" s="5" t="s">
        <v>29</v>
      </c>
      <c r="B13" s="6" t="s">
        <v>30</v>
      </c>
      <c r="C13" s="7"/>
      <c r="D13" s="7"/>
      <c r="E13" s="7"/>
      <c r="F13" s="7"/>
      <c r="G13" s="7"/>
      <c r="H13" s="7"/>
      <c r="I13" s="7"/>
      <c r="J13" s="7"/>
      <c r="K13" s="7"/>
      <c r="L13" s="7"/>
      <c r="M13" s="7"/>
      <c r="N13" s="7"/>
      <c r="O13" s="7"/>
      <c r="P13" s="7"/>
      <c r="Q13" s="7"/>
    </row>
    <row r="14" spans="1:17" ht="25.5">
      <c r="A14" s="8"/>
      <c r="B14" s="8"/>
      <c r="C14" s="8" t="s">
        <v>31</v>
      </c>
      <c r="D14" s="9">
        <v>45138</v>
      </c>
      <c r="E14" s="8" t="s">
        <v>25</v>
      </c>
      <c r="F14" s="8" t="s">
        <v>26</v>
      </c>
      <c r="G14" s="10">
        <v>206.43</v>
      </c>
      <c r="H14" s="10">
        <v>206.43</v>
      </c>
      <c r="I14" s="10">
        <v>175.1</v>
      </c>
      <c r="J14" s="10">
        <f>I14-H14</f>
        <v>-31.330000000000013</v>
      </c>
      <c r="K14" s="11">
        <v>1</v>
      </c>
      <c r="L14" s="9">
        <v>44957</v>
      </c>
      <c r="M14" s="9">
        <v>44957</v>
      </c>
      <c r="N14" s="10">
        <f>G14-MAX(H14,I14)</f>
        <v>0</v>
      </c>
      <c r="O14" s="12" t="s">
        <v>27</v>
      </c>
      <c r="P14" s="37" t="s">
        <v>161</v>
      </c>
      <c r="Q14" s="13"/>
    </row>
    <row r="15" spans="1:17">
      <c r="A15" s="14"/>
      <c r="B15" s="14"/>
      <c r="C15" s="14"/>
      <c r="D15" s="14"/>
      <c r="E15" s="14"/>
      <c r="F15" s="15" t="s">
        <v>32</v>
      </c>
      <c r="G15" s="16">
        <f>SUM(G14:G14)</f>
        <v>206.43</v>
      </c>
      <c r="H15" s="16">
        <f>SUM(H14:H14)</f>
        <v>206.43</v>
      </c>
      <c r="I15" s="16">
        <f>SUM(I14:I14)</f>
        <v>175.1</v>
      </c>
      <c r="J15" s="16">
        <f>SUM(J14:J14)</f>
        <v>-31.330000000000013</v>
      </c>
      <c r="K15" s="14"/>
      <c r="L15" s="14"/>
      <c r="M15" s="14"/>
      <c r="N15" s="14"/>
      <c r="O15" s="14"/>
      <c r="P15" s="14"/>
      <c r="Q15" s="14"/>
    </row>
    <row r="17" spans="1:17">
      <c r="A17" s="5" t="s">
        <v>33</v>
      </c>
      <c r="B17" s="6" t="s">
        <v>34</v>
      </c>
      <c r="C17" s="7"/>
      <c r="D17" s="7"/>
      <c r="E17" s="7"/>
      <c r="F17" s="7"/>
      <c r="G17" s="7"/>
      <c r="H17" s="7"/>
      <c r="I17" s="7"/>
      <c r="J17" s="7"/>
      <c r="K17" s="7"/>
      <c r="L17" s="7"/>
      <c r="M17" s="7"/>
      <c r="N17" s="7"/>
      <c r="O17" s="7"/>
      <c r="P17" s="7"/>
      <c r="Q17" s="7"/>
    </row>
    <row r="18" spans="1:17" ht="25.5">
      <c r="A18" s="8"/>
      <c r="B18" s="8"/>
      <c r="C18" s="8" t="s">
        <v>35</v>
      </c>
      <c r="D18" s="9">
        <v>44540</v>
      </c>
      <c r="E18" s="8" t="s">
        <v>25</v>
      </c>
      <c r="F18" s="8" t="s">
        <v>26</v>
      </c>
      <c r="G18" s="10">
        <v>5974</v>
      </c>
      <c r="H18" s="10">
        <v>5974</v>
      </c>
      <c r="I18" s="10">
        <v>2987</v>
      </c>
      <c r="J18" s="10">
        <f>I18-H18</f>
        <v>-2987</v>
      </c>
      <c r="K18" s="11">
        <v>1</v>
      </c>
      <c r="L18" s="9">
        <v>44540</v>
      </c>
      <c r="M18" s="9">
        <v>44540</v>
      </c>
      <c r="N18" s="10">
        <f>G18-MAX(H18,I18)</f>
        <v>0</v>
      </c>
      <c r="O18" s="12" t="s">
        <v>36</v>
      </c>
      <c r="P18" s="37" t="s">
        <v>165</v>
      </c>
      <c r="Q18" s="13"/>
    </row>
    <row r="19" spans="1:17">
      <c r="A19" s="14"/>
      <c r="B19" s="14"/>
      <c r="C19" s="14"/>
      <c r="D19" s="14"/>
      <c r="E19" s="14"/>
      <c r="F19" s="15" t="s">
        <v>37</v>
      </c>
      <c r="G19" s="16">
        <f>SUM(G18:G18)</f>
        <v>5974</v>
      </c>
      <c r="H19" s="16">
        <f>SUM(H18:H18)</f>
        <v>5974</v>
      </c>
      <c r="I19" s="16">
        <f>SUM(I18:I18)</f>
        <v>2987</v>
      </c>
      <c r="J19" s="16">
        <f>SUM(J18:J18)</f>
        <v>-2987</v>
      </c>
      <c r="K19" s="14"/>
      <c r="L19" s="14"/>
      <c r="M19" s="14"/>
      <c r="N19" s="14"/>
      <c r="O19" s="14"/>
      <c r="P19" s="14"/>
      <c r="Q19" s="14"/>
    </row>
    <row r="21" spans="1:17">
      <c r="A21" s="5" t="s">
        <v>38</v>
      </c>
      <c r="B21" s="6" t="s">
        <v>39</v>
      </c>
      <c r="C21" s="7"/>
      <c r="D21" s="7"/>
      <c r="E21" s="7"/>
      <c r="F21" s="7"/>
      <c r="G21" s="7"/>
      <c r="H21" s="7"/>
      <c r="I21" s="7"/>
      <c r="J21" s="7"/>
      <c r="K21" s="7"/>
      <c r="L21" s="7"/>
      <c r="M21" s="7"/>
      <c r="N21" s="7"/>
      <c r="O21" s="7"/>
      <c r="P21" s="7"/>
      <c r="Q21" s="7"/>
    </row>
    <row r="22" spans="1:17" ht="25.5">
      <c r="A22" s="30"/>
      <c r="B22" s="30"/>
      <c r="C22" s="30" t="s">
        <v>40</v>
      </c>
      <c r="D22" s="31">
        <v>43921</v>
      </c>
      <c r="E22" s="30" t="s">
        <v>25</v>
      </c>
      <c r="F22" s="30" t="s">
        <v>26</v>
      </c>
      <c r="G22" s="32">
        <v>1349.22</v>
      </c>
      <c r="H22" s="32">
        <v>1349.22</v>
      </c>
      <c r="I22" s="32">
        <v>1278.56</v>
      </c>
      <c r="J22" s="32">
        <f>I22-H22</f>
        <v>-70.660000000000082</v>
      </c>
      <c r="K22" s="33">
        <v>1</v>
      </c>
      <c r="L22" s="31">
        <v>44015</v>
      </c>
      <c r="M22" s="31">
        <v>44015</v>
      </c>
      <c r="N22" s="32">
        <f>G22-MAX(H22,I22)</f>
        <v>0</v>
      </c>
      <c r="O22" s="34" t="s">
        <v>27</v>
      </c>
      <c r="P22" s="37" t="s">
        <v>165</v>
      </c>
      <c r="Q22" s="13"/>
    </row>
    <row r="23" spans="1:17" s="36" customFormat="1" ht="25.5">
      <c r="A23" s="30"/>
      <c r="B23" s="30"/>
      <c r="C23" s="30" t="s">
        <v>41</v>
      </c>
      <c r="D23" s="31">
        <v>45230</v>
      </c>
      <c r="E23" s="30" t="s">
        <v>25</v>
      </c>
      <c r="F23" s="30" t="s">
        <v>26</v>
      </c>
      <c r="G23" s="32">
        <v>1944.4</v>
      </c>
      <c r="H23" s="32">
        <v>1944.4</v>
      </c>
      <c r="I23" s="32">
        <v>1941.83</v>
      </c>
      <c r="J23" s="32">
        <f>I23-H23</f>
        <v>-2.5700000000001637</v>
      </c>
      <c r="K23" s="33">
        <v>1</v>
      </c>
      <c r="L23" s="31">
        <v>45251</v>
      </c>
      <c r="M23" s="31">
        <v>45251</v>
      </c>
      <c r="N23" s="32">
        <f>G23-MAX(H23,I23)</f>
        <v>0</v>
      </c>
      <c r="O23" s="34" t="s">
        <v>27</v>
      </c>
      <c r="P23" s="37" t="s">
        <v>165</v>
      </c>
      <c r="Q23" s="35"/>
    </row>
    <row r="24" spans="1:17">
      <c r="A24" s="14"/>
      <c r="B24" s="14"/>
      <c r="C24" s="14"/>
      <c r="D24" s="14"/>
      <c r="E24" s="14"/>
      <c r="F24" s="15" t="s">
        <v>42</v>
      </c>
      <c r="G24" s="16">
        <f>SUM(G22:G23)</f>
        <v>3293.62</v>
      </c>
      <c r="H24" s="16">
        <f>SUM(H22:H23)</f>
        <v>3293.62</v>
      </c>
      <c r="I24" s="16">
        <f>SUM(I22:I23)</f>
        <v>3220.39</v>
      </c>
      <c r="J24" s="16">
        <f>SUM(J22:J23)</f>
        <v>-73.230000000000246</v>
      </c>
      <c r="K24" s="14"/>
      <c r="L24" s="14"/>
      <c r="M24" s="14"/>
      <c r="N24" s="14"/>
      <c r="O24" s="14"/>
      <c r="P24" s="14"/>
      <c r="Q24" s="14"/>
    </row>
    <row r="26" spans="1:17">
      <c r="A26" s="5" t="s">
        <v>43</v>
      </c>
      <c r="B26" s="6" t="s">
        <v>44</v>
      </c>
      <c r="C26" s="7"/>
      <c r="D26" s="7"/>
      <c r="E26" s="7"/>
      <c r="F26" s="7"/>
      <c r="G26" s="7"/>
      <c r="H26" s="7"/>
      <c r="I26" s="7"/>
      <c r="J26" s="7"/>
      <c r="K26" s="7"/>
      <c r="L26" s="7"/>
      <c r="M26" s="7"/>
      <c r="N26" s="7"/>
      <c r="O26" s="7"/>
      <c r="P26" s="7"/>
      <c r="Q26" s="7"/>
    </row>
    <row r="27" spans="1:17" ht="25.5">
      <c r="A27" s="8"/>
      <c r="B27" s="8"/>
      <c r="C27" s="8" t="s">
        <v>45</v>
      </c>
      <c r="D27" s="9">
        <v>43555</v>
      </c>
      <c r="E27" s="8" t="s">
        <v>25</v>
      </c>
      <c r="F27" s="8" t="s">
        <v>26</v>
      </c>
      <c r="G27" s="10">
        <v>2548.87</v>
      </c>
      <c r="H27" s="10">
        <v>2548.87</v>
      </c>
      <c r="I27" s="10">
        <v>1449.54</v>
      </c>
      <c r="J27" s="10">
        <f>I27-H27</f>
        <v>-1099.33</v>
      </c>
      <c r="K27" s="11">
        <v>1</v>
      </c>
      <c r="L27" s="9">
        <v>43658</v>
      </c>
      <c r="M27" s="9">
        <v>43658</v>
      </c>
      <c r="N27" s="10">
        <f>G27-MAX(H27,I27)</f>
        <v>0</v>
      </c>
      <c r="O27" s="12" t="s">
        <v>27</v>
      </c>
      <c r="P27" s="37" t="s">
        <v>165</v>
      </c>
      <c r="Q27" s="13"/>
    </row>
    <row r="28" spans="1:17" ht="25.5">
      <c r="A28" s="8"/>
      <c r="B28" s="8"/>
      <c r="C28" s="8" t="s">
        <v>46</v>
      </c>
      <c r="D28" s="9">
        <v>43861</v>
      </c>
      <c r="E28" s="8" t="s">
        <v>25</v>
      </c>
      <c r="F28" s="8" t="s">
        <v>26</v>
      </c>
      <c r="G28" s="10">
        <v>321.56</v>
      </c>
      <c r="H28" s="10">
        <v>321.56</v>
      </c>
      <c r="I28" s="10">
        <v>321.02</v>
      </c>
      <c r="J28" s="10">
        <f>I28-H28</f>
        <v>-0.54000000000002046</v>
      </c>
      <c r="K28" s="11">
        <v>1</v>
      </c>
      <c r="L28" s="9">
        <v>43895</v>
      </c>
      <c r="M28" s="9">
        <v>43895</v>
      </c>
      <c r="N28" s="10">
        <f>G28-MAX(H28,I28)</f>
        <v>0</v>
      </c>
      <c r="O28" s="12" t="s">
        <v>27</v>
      </c>
      <c r="P28" s="37" t="s">
        <v>165</v>
      </c>
      <c r="Q28" s="13"/>
    </row>
    <row r="29" spans="1:17" ht="25.5">
      <c r="A29" s="8"/>
      <c r="B29" s="8"/>
      <c r="C29" s="8" t="s">
        <v>47</v>
      </c>
      <c r="D29" s="9">
        <v>43871</v>
      </c>
      <c r="E29" s="8" t="s">
        <v>25</v>
      </c>
      <c r="F29" s="8" t="s">
        <v>26</v>
      </c>
      <c r="G29" s="10">
        <v>147.4</v>
      </c>
      <c r="H29" s="10">
        <v>147.4</v>
      </c>
      <c r="I29" s="10">
        <v>147</v>
      </c>
      <c r="J29" s="10">
        <f>I29-H29</f>
        <v>-0.40000000000000568</v>
      </c>
      <c r="K29" s="11">
        <v>1</v>
      </c>
      <c r="L29" s="9">
        <v>43895</v>
      </c>
      <c r="M29" s="9">
        <v>43895</v>
      </c>
      <c r="N29" s="10">
        <f>G29-MAX(H29,I29)</f>
        <v>0</v>
      </c>
      <c r="O29" s="12" t="s">
        <v>27</v>
      </c>
      <c r="P29" s="37" t="s">
        <v>165</v>
      </c>
      <c r="Q29" s="13"/>
    </row>
    <row r="30" spans="1:17">
      <c r="A30" s="14"/>
      <c r="B30" s="14"/>
      <c r="C30" s="14"/>
      <c r="D30" s="14"/>
      <c r="E30" s="14"/>
      <c r="F30" s="15" t="s">
        <v>48</v>
      </c>
      <c r="G30" s="16">
        <f>SUM(G27:G29)</f>
        <v>3017.83</v>
      </c>
      <c r="H30" s="16">
        <f>SUM(H27:H29)</f>
        <v>3017.83</v>
      </c>
      <c r="I30" s="16">
        <f>SUM(I27:I29)</f>
        <v>1917.56</v>
      </c>
      <c r="J30" s="16">
        <f>SUM(J27:J29)</f>
        <v>-1100.27</v>
      </c>
      <c r="K30" s="14"/>
      <c r="L30" s="14"/>
      <c r="M30" s="14"/>
      <c r="N30" s="14"/>
      <c r="O30" s="14"/>
      <c r="P30" s="14"/>
      <c r="Q30" s="14"/>
    </row>
    <row r="32" spans="1:17">
      <c r="A32" s="5" t="s">
        <v>49</v>
      </c>
      <c r="B32" s="6" t="s">
        <v>50</v>
      </c>
      <c r="C32" s="7"/>
      <c r="D32" s="7"/>
      <c r="E32" s="7"/>
      <c r="F32" s="7"/>
      <c r="G32" s="7"/>
      <c r="H32" s="7"/>
      <c r="I32" s="7"/>
      <c r="J32" s="7"/>
      <c r="K32" s="7"/>
      <c r="L32" s="7"/>
      <c r="M32" s="7"/>
      <c r="N32" s="7"/>
      <c r="O32" s="7"/>
      <c r="P32" s="7"/>
      <c r="Q32" s="7"/>
    </row>
    <row r="33" spans="1:17" ht="25.5">
      <c r="A33" s="8"/>
      <c r="B33" s="8"/>
      <c r="C33" s="8" t="s">
        <v>51</v>
      </c>
      <c r="D33" s="9">
        <v>44474</v>
      </c>
      <c r="E33" s="8" t="s">
        <v>52</v>
      </c>
      <c r="F33" s="8" t="s">
        <v>53</v>
      </c>
      <c r="G33" s="10">
        <v>9246.2000000000007</v>
      </c>
      <c r="H33" s="10">
        <v>0</v>
      </c>
      <c r="I33" s="10">
        <v>2169.4899999999998</v>
      </c>
      <c r="J33" s="10">
        <f>I33-H33</f>
        <v>2169.4899999999998</v>
      </c>
      <c r="K33" s="11">
        <v>3</v>
      </c>
      <c r="L33" s="9">
        <v>44497</v>
      </c>
      <c r="M33" s="9">
        <v>44524</v>
      </c>
      <c r="N33" s="10">
        <f>G33-MAX(H33,I33)</f>
        <v>7076.7100000000009</v>
      </c>
      <c r="O33" s="12" t="s">
        <v>54</v>
      </c>
      <c r="P33" s="37" t="s">
        <v>162</v>
      </c>
      <c r="Q33" s="13"/>
    </row>
    <row r="34" spans="1:17">
      <c r="A34" s="14"/>
      <c r="B34" s="14"/>
      <c r="C34" s="14"/>
      <c r="D34" s="14"/>
      <c r="E34" s="14"/>
      <c r="F34" s="15" t="s">
        <v>55</v>
      </c>
      <c r="G34" s="16">
        <f>SUM(G33:G33)</f>
        <v>9246.2000000000007</v>
      </c>
      <c r="H34" s="16">
        <f>SUM(H33:H33)</f>
        <v>0</v>
      </c>
      <c r="I34" s="16">
        <f>SUM(I33:I33)</f>
        <v>2169.4899999999998</v>
      </c>
      <c r="J34" s="16">
        <f>SUM(J33:J33)</f>
        <v>2169.4899999999998</v>
      </c>
      <c r="K34" s="14"/>
      <c r="L34" s="14"/>
      <c r="M34" s="14"/>
      <c r="N34" s="14"/>
      <c r="O34" s="14"/>
      <c r="P34" s="14"/>
      <c r="Q34" s="14"/>
    </row>
    <row r="36" spans="1:17">
      <c r="A36" s="5" t="s">
        <v>56</v>
      </c>
      <c r="B36" s="6"/>
      <c r="C36" s="7"/>
      <c r="D36" s="7"/>
      <c r="E36" s="7"/>
      <c r="F36" s="7"/>
      <c r="G36" s="7"/>
      <c r="H36" s="7"/>
      <c r="I36" s="7"/>
      <c r="J36" s="7"/>
      <c r="K36" s="7"/>
      <c r="L36" s="7"/>
      <c r="M36" s="7"/>
      <c r="N36" s="7"/>
      <c r="O36" s="7"/>
      <c r="P36" s="7"/>
      <c r="Q36" s="7"/>
    </row>
    <row r="37" spans="1:17" ht="25.5">
      <c r="A37" s="8"/>
      <c r="B37" s="8"/>
      <c r="C37" s="8" t="s">
        <v>57</v>
      </c>
      <c r="D37" s="9">
        <v>42978</v>
      </c>
      <c r="E37" s="8" t="s">
        <v>25</v>
      </c>
      <c r="F37" s="8" t="s">
        <v>26</v>
      </c>
      <c r="G37" s="10">
        <v>264</v>
      </c>
      <c r="H37" s="10">
        <v>264</v>
      </c>
      <c r="I37" s="10">
        <v>198</v>
      </c>
      <c r="J37" s="10">
        <f>I37-H37</f>
        <v>-66</v>
      </c>
      <c r="K37" s="11">
        <v>1</v>
      </c>
      <c r="L37" s="9">
        <v>42985</v>
      </c>
      <c r="M37" s="9">
        <v>42985</v>
      </c>
      <c r="N37" s="10">
        <f>G37-MAX(H37,I37)</f>
        <v>0</v>
      </c>
      <c r="O37" s="12" t="s">
        <v>27</v>
      </c>
      <c r="P37" s="37" t="s">
        <v>163</v>
      </c>
      <c r="Q37" s="13"/>
    </row>
    <row r="38" spans="1:17">
      <c r="A38" s="14"/>
      <c r="B38" s="14"/>
      <c r="C38" s="14"/>
      <c r="D38" s="14"/>
      <c r="E38" s="14"/>
      <c r="F38" s="15" t="s">
        <v>58</v>
      </c>
      <c r="G38" s="16">
        <f>SUM(G37:G37)</f>
        <v>264</v>
      </c>
      <c r="H38" s="16">
        <f>SUM(H37:H37)</f>
        <v>264</v>
      </c>
      <c r="I38" s="16">
        <f>SUM(I37:I37)</f>
        <v>198</v>
      </c>
      <c r="J38" s="16">
        <f>SUM(J37:J37)</f>
        <v>-66</v>
      </c>
      <c r="K38" s="14"/>
      <c r="L38" s="14"/>
      <c r="M38" s="14"/>
      <c r="N38" s="14"/>
      <c r="O38" s="14"/>
      <c r="P38" s="14"/>
      <c r="Q38" s="14"/>
    </row>
    <row r="40" spans="1:17">
      <c r="A40" s="5" t="s">
        <v>59</v>
      </c>
      <c r="B40" s="6" t="s">
        <v>60</v>
      </c>
      <c r="C40" s="7"/>
      <c r="D40" s="7"/>
      <c r="E40" s="7"/>
      <c r="F40" s="7"/>
      <c r="G40" s="7"/>
      <c r="H40" s="7"/>
      <c r="I40" s="7"/>
      <c r="J40" s="7"/>
      <c r="K40" s="7"/>
      <c r="L40" s="7"/>
      <c r="M40" s="7"/>
      <c r="N40" s="7"/>
      <c r="O40" s="7"/>
      <c r="P40" s="7"/>
      <c r="Q40" s="7"/>
    </row>
    <row r="41" spans="1:17" ht="25.5">
      <c r="A41" s="8"/>
      <c r="B41" s="8"/>
      <c r="C41" s="8" t="s">
        <v>61</v>
      </c>
      <c r="D41" s="9">
        <v>44804</v>
      </c>
      <c r="E41" s="8" t="s">
        <v>25</v>
      </c>
      <c r="F41" s="8" t="s">
        <v>26</v>
      </c>
      <c r="G41" s="10">
        <v>36080.36</v>
      </c>
      <c r="H41" s="10">
        <v>36080.36</v>
      </c>
      <c r="I41" s="10">
        <v>35344.79</v>
      </c>
      <c r="J41" s="10">
        <f>I41-H41</f>
        <v>-735.56999999999971</v>
      </c>
      <c r="K41" s="11">
        <v>1</v>
      </c>
      <c r="L41" s="9">
        <v>44829</v>
      </c>
      <c r="M41" s="9">
        <v>44829</v>
      </c>
      <c r="N41" s="10">
        <f>G41-MAX(H41,I41)</f>
        <v>0</v>
      </c>
      <c r="O41" s="12" t="s">
        <v>27</v>
      </c>
      <c r="P41" s="37" t="s">
        <v>163</v>
      </c>
      <c r="Q41" s="13"/>
    </row>
    <row r="42" spans="1:17">
      <c r="A42" s="14"/>
      <c r="B42" s="14"/>
      <c r="C42" s="14"/>
      <c r="D42" s="14"/>
      <c r="E42" s="14"/>
      <c r="F42" s="15" t="s">
        <v>62</v>
      </c>
      <c r="G42" s="16">
        <f>SUM(G41:G41)</f>
        <v>36080.36</v>
      </c>
      <c r="H42" s="16">
        <f>SUM(H41:H41)</f>
        <v>36080.36</v>
      </c>
      <c r="I42" s="16">
        <f>SUM(I41:I41)</f>
        <v>35344.79</v>
      </c>
      <c r="J42" s="16">
        <f>SUM(J41:J41)</f>
        <v>-735.56999999999971</v>
      </c>
      <c r="K42" s="14"/>
      <c r="L42" s="14"/>
      <c r="M42" s="14"/>
      <c r="N42" s="14"/>
      <c r="O42" s="14"/>
      <c r="P42" s="14"/>
      <c r="Q42" s="14"/>
    </row>
    <row r="44" spans="1:17">
      <c r="A44" s="5" t="s">
        <v>63</v>
      </c>
      <c r="B44" s="6" t="s">
        <v>64</v>
      </c>
      <c r="C44" s="7"/>
      <c r="D44" s="7"/>
      <c r="E44" s="7"/>
      <c r="F44" s="7"/>
      <c r="G44" s="7"/>
      <c r="H44" s="7"/>
      <c r="I44" s="7"/>
      <c r="J44" s="7"/>
      <c r="K44" s="7"/>
      <c r="L44" s="7"/>
      <c r="M44" s="7"/>
      <c r="N44" s="7"/>
      <c r="O44" s="7"/>
      <c r="P44" s="7"/>
      <c r="Q44" s="7"/>
    </row>
    <row r="45" spans="1:17" ht="25.5">
      <c r="A45" s="8"/>
      <c r="B45" s="8"/>
      <c r="C45" s="8" t="s">
        <v>65</v>
      </c>
      <c r="D45" s="9">
        <v>43707</v>
      </c>
      <c r="E45" s="8" t="s">
        <v>25</v>
      </c>
      <c r="F45" s="8" t="s">
        <v>26</v>
      </c>
      <c r="G45" s="10">
        <v>32209.39</v>
      </c>
      <c r="H45" s="10">
        <v>32209.39</v>
      </c>
      <c r="I45" s="10">
        <v>23909.16</v>
      </c>
      <c r="J45" s="10">
        <f>I45-H45</f>
        <v>-8300.23</v>
      </c>
      <c r="K45" s="11">
        <v>2</v>
      </c>
      <c r="L45" s="9">
        <v>43728</v>
      </c>
      <c r="M45" s="9">
        <v>43732</v>
      </c>
      <c r="N45" s="10">
        <f>G45-MAX(H45,I45)</f>
        <v>0</v>
      </c>
      <c r="O45" s="12" t="s">
        <v>27</v>
      </c>
      <c r="P45" s="37" t="s">
        <v>165</v>
      </c>
      <c r="Q45" s="13"/>
    </row>
    <row r="46" spans="1:17">
      <c r="A46" s="14"/>
      <c r="B46" s="14"/>
      <c r="C46" s="14"/>
      <c r="D46" s="14"/>
      <c r="E46" s="14"/>
      <c r="F46" s="15" t="s">
        <v>66</v>
      </c>
      <c r="G46" s="16">
        <f>SUM(G45:G45)</f>
        <v>32209.39</v>
      </c>
      <c r="H46" s="16">
        <f>SUM(H45:H45)</f>
        <v>32209.39</v>
      </c>
      <c r="I46" s="16">
        <f>SUM(I45:I45)</f>
        <v>23909.16</v>
      </c>
      <c r="J46" s="16">
        <f>SUM(J45:J45)</f>
        <v>-8300.23</v>
      </c>
      <c r="K46" s="14"/>
      <c r="L46" s="14"/>
      <c r="M46" s="14"/>
      <c r="N46" s="14"/>
      <c r="O46" s="14"/>
      <c r="P46" s="14"/>
      <c r="Q46" s="14"/>
    </row>
    <row r="48" spans="1:17">
      <c r="A48" s="5" t="s">
        <v>67</v>
      </c>
      <c r="B48" s="6" t="s">
        <v>68</v>
      </c>
      <c r="C48" s="7"/>
      <c r="D48" s="7"/>
      <c r="E48" s="7"/>
      <c r="F48" s="7"/>
      <c r="G48" s="7"/>
      <c r="H48" s="7"/>
      <c r="I48" s="7"/>
      <c r="J48" s="7"/>
      <c r="K48" s="7"/>
      <c r="L48" s="7"/>
      <c r="M48" s="7"/>
      <c r="N48" s="7"/>
      <c r="O48" s="7"/>
      <c r="P48" s="7"/>
      <c r="Q48" s="7"/>
    </row>
    <row r="49" spans="1:17" ht="25.5">
      <c r="A49" s="8"/>
      <c r="B49" s="8"/>
      <c r="C49" s="8" t="s">
        <v>69</v>
      </c>
      <c r="D49" s="9">
        <v>43126</v>
      </c>
      <c r="E49" s="8" t="s">
        <v>25</v>
      </c>
      <c r="F49" s="8" t="s">
        <v>26</v>
      </c>
      <c r="G49" s="10">
        <v>580.89</v>
      </c>
      <c r="H49" s="10">
        <v>580.89</v>
      </c>
      <c r="I49" s="10">
        <v>0.8</v>
      </c>
      <c r="J49" s="10">
        <f>I49-H49</f>
        <v>-580.09</v>
      </c>
      <c r="K49" s="11">
        <v>1</v>
      </c>
      <c r="L49" s="9">
        <v>43126</v>
      </c>
      <c r="M49" s="9">
        <v>43126</v>
      </c>
      <c r="N49" s="10">
        <f>G49-MAX(H49,I49)</f>
        <v>0</v>
      </c>
      <c r="O49" s="12" t="s">
        <v>27</v>
      </c>
      <c r="P49" s="37" t="s">
        <v>165</v>
      </c>
      <c r="Q49" s="13"/>
    </row>
    <row r="50" spans="1:17">
      <c r="A50" s="14"/>
      <c r="B50" s="14"/>
      <c r="C50" s="14"/>
      <c r="D50" s="14"/>
      <c r="E50" s="14"/>
      <c r="F50" s="15" t="s">
        <v>70</v>
      </c>
      <c r="G50" s="16">
        <f>SUM(G49:G49)</f>
        <v>580.89</v>
      </c>
      <c r="H50" s="16">
        <f>SUM(H49:H49)</f>
        <v>580.89</v>
      </c>
      <c r="I50" s="16">
        <f>SUM(I49:I49)</f>
        <v>0.8</v>
      </c>
      <c r="J50" s="16">
        <f>SUM(J49:J49)</f>
        <v>-580.09</v>
      </c>
      <c r="K50" s="14"/>
      <c r="L50" s="14"/>
      <c r="M50" s="14"/>
      <c r="N50" s="14"/>
      <c r="O50" s="14"/>
      <c r="P50" s="14"/>
      <c r="Q50" s="14"/>
    </row>
    <row r="52" spans="1:17">
      <c r="A52" s="5" t="s">
        <v>71</v>
      </c>
      <c r="B52" s="6" t="s">
        <v>72</v>
      </c>
      <c r="C52" s="7"/>
      <c r="D52" s="7"/>
      <c r="E52" s="7"/>
      <c r="F52" s="7"/>
      <c r="G52" s="7"/>
      <c r="H52" s="7"/>
      <c r="I52" s="7"/>
      <c r="J52" s="7"/>
      <c r="K52" s="7"/>
      <c r="L52" s="7"/>
      <c r="M52" s="7"/>
      <c r="N52" s="7"/>
      <c r="O52" s="7"/>
      <c r="P52" s="7"/>
      <c r="Q52" s="7"/>
    </row>
    <row r="53" spans="1:17" ht="25.5">
      <c r="A53" s="8"/>
      <c r="B53" s="8"/>
      <c r="C53" s="8" t="s">
        <v>73</v>
      </c>
      <c r="D53" s="9">
        <v>42938</v>
      </c>
      <c r="E53" s="8" t="s">
        <v>25</v>
      </c>
      <c r="F53" s="8" t="s">
        <v>26</v>
      </c>
      <c r="G53" s="10">
        <v>269</v>
      </c>
      <c r="H53" s="10">
        <v>269</v>
      </c>
      <c r="I53" s="10">
        <v>260</v>
      </c>
      <c r="J53" s="10">
        <f>I53-H53</f>
        <v>-9</v>
      </c>
      <c r="K53" s="11">
        <v>1</v>
      </c>
      <c r="L53" s="9">
        <v>42937</v>
      </c>
      <c r="M53" s="9">
        <v>42937</v>
      </c>
      <c r="N53" s="10">
        <f>G53-MAX(H53,I53)</f>
        <v>0</v>
      </c>
      <c r="O53" s="12" t="s">
        <v>27</v>
      </c>
      <c r="P53" s="37" t="s">
        <v>165</v>
      </c>
      <c r="Q53" s="13"/>
    </row>
    <row r="54" spans="1:17">
      <c r="A54" s="14"/>
      <c r="B54" s="14"/>
      <c r="C54" s="14"/>
      <c r="D54" s="14"/>
      <c r="E54" s="14"/>
      <c r="F54" s="15" t="s">
        <v>74</v>
      </c>
      <c r="G54" s="16">
        <f>SUM(G53:G53)</f>
        <v>269</v>
      </c>
      <c r="H54" s="16">
        <f>SUM(H53:H53)</f>
        <v>269</v>
      </c>
      <c r="I54" s="16">
        <f>SUM(I53:I53)</f>
        <v>260</v>
      </c>
      <c r="J54" s="16">
        <f>SUM(J53:J53)</f>
        <v>-9</v>
      </c>
      <c r="K54" s="14"/>
      <c r="L54" s="14"/>
      <c r="M54" s="14"/>
      <c r="N54" s="14"/>
      <c r="O54" s="14"/>
      <c r="P54" s="14"/>
      <c r="Q54" s="14"/>
    </row>
    <row r="56" spans="1:17">
      <c r="A56" s="38" t="s">
        <v>75</v>
      </c>
      <c r="B56" s="6"/>
      <c r="C56" s="7"/>
      <c r="D56" s="7"/>
      <c r="E56" s="7"/>
      <c r="F56" s="7"/>
      <c r="G56" s="7"/>
      <c r="H56" s="7"/>
      <c r="I56" s="7"/>
      <c r="J56" s="7"/>
      <c r="K56" s="7"/>
      <c r="L56" s="7"/>
      <c r="M56" s="7"/>
      <c r="N56" s="7"/>
      <c r="O56" s="7"/>
      <c r="P56" s="7"/>
      <c r="Q56" s="7"/>
    </row>
    <row r="57" spans="1:17" ht="25.5">
      <c r="A57" s="8"/>
      <c r="B57" s="8"/>
      <c r="C57" s="8" t="s">
        <v>76</v>
      </c>
      <c r="D57" s="9">
        <v>44719</v>
      </c>
      <c r="E57" s="8" t="s">
        <v>25</v>
      </c>
      <c r="F57" s="8" t="s">
        <v>26</v>
      </c>
      <c r="G57" s="10">
        <v>140</v>
      </c>
      <c r="H57" s="10">
        <v>140</v>
      </c>
      <c r="I57" s="10">
        <v>70</v>
      </c>
      <c r="J57" s="10">
        <f>I57-H57</f>
        <v>-70</v>
      </c>
      <c r="K57" s="11">
        <v>1</v>
      </c>
      <c r="L57" s="9">
        <v>44719</v>
      </c>
      <c r="M57" s="9">
        <v>44719</v>
      </c>
      <c r="N57" s="10">
        <f>G57-MAX(H57,I57)</f>
        <v>0</v>
      </c>
      <c r="O57" s="12" t="s">
        <v>36</v>
      </c>
      <c r="P57" s="37" t="s">
        <v>165</v>
      </c>
      <c r="Q57" s="13"/>
    </row>
    <row r="58" spans="1:17">
      <c r="A58" s="14"/>
      <c r="B58" s="14"/>
      <c r="C58" s="14"/>
      <c r="D58" s="14"/>
      <c r="E58" s="14"/>
      <c r="F58" s="15" t="s">
        <v>77</v>
      </c>
      <c r="G58" s="16">
        <f>SUM(G57:G57)</f>
        <v>140</v>
      </c>
      <c r="H58" s="16">
        <f>SUM(H57:H57)</f>
        <v>140</v>
      </c>
      <c r="I58" s="16">
        <f>SUM(I57:I57)</f>
        <v>70</v>
      </c>
      <c r="J58" s="16">
        <f>SUM(J57:J57)</f>
        <v>-70</v>
      </c>
      <c r="K58" s="14"/>
      <c r="L58" s="14"/>
      <c r="M58" s="14"/>
      <c r="N58" s="14"/>
      <c r="O58" s="14"/>
      <c r="P58" s="14"/>
      <c r="Q58" s="14"/>
    </row>
    <row r="60" spans="1:17">
      <c r="A60" s="5" t="s">
        <v>78</v>
      </c>
      <c r="B60" s="6" t="s">
        <v>79</v>
      </c>
      <c r="C60" s="7"/>
      <c r="D60" s="7"/>
      <c r="E60" s="7"/>
      <c r="F60" s="7"/>
      <c r="G60" s="7"/>
      <c r="H60" s="7"/>
      <c r="I60" s="7"/>
      <c r="J60" s="7"/>
      <c r="K60" s="7"/>
      <c r="L60" s="7"/>
      <c r="M60" s="7"/>
      <c r="N60" s="7"/>
      <c r="O60" s="7"/>
      <c r="P60" s="7"/>
      <c r="Q60" s="7"/>
    </row>
    <row r="61" spans="1:17" ht="25.5">
      <c r="A61" s="8"/>
      <c r="B61" s="8"/>
      <c r="C61" s="8" t="s">
        <v>80</v>
      </c>
      <c r="D61" s="9">
        <v>43890</v>
      </c>
      <c r="E61" s="8" t="s">
        <v>25</v>
      </c>
      <c r="F61" s="8" t="s">
        <v>26</v>
      </c>
      <c r="G61" s="10">
        <v>930</v>
      </c>
      <c r="H61" s="10">
        <v>930</v>
      </c>
      <c r="I61" s="10">
        <v>430</v>
      </c>
      <c r="J61" s="10">
        <f>I61-H61</f>
        <v>-500</v>
      </c>
      <c r="K61" s="11">
        <v>1</v>
      </c>
      <c r="L61" s="9">
        <v>43990</v>
      </c>
      <c r="M61" s="9">
        <v>43990</v>
      </c>
      <c r="N61" s="10">
        <f>G61-MAX(H61,I61)</f>
        <v>0</v>
      </c>
      <c r="O61" s="12" t="s">
        <v>27</v>
      </c>
      <c r="P61" s="37" t="s">
        <v>165</v>
      </c>
      <c r="Q61" s="13"/>
    </row>
    <row r="62" spans="1:17">
      <c r="A62" s="14"/>
      <c r="B62" s="14"/>
      <c r="C62" s="14"/>
      <c r="D62" s="14"/>
      <c r="E62" s="14"/>
      <c r="F62" s="15" t="s">
        <v>81</v>
      </c>
      <c r="G62" s="16">
        <f>SUM(G61:G61)</f>
        <v>930</v>
      </c>
      <c r="H62" s="16">
        <f>SUM(H61:H61)</f>
        <v>930</v>
      </c>
      <c r="I62" s="16">
        <f>SUM(I61:I61)</f>
        <v>430</v>
      </c>
      <c r="J62" s="16">
        <f>SUM(J61:J61)</f>
        <v>-500</v>
      </c>
      <c r="K62" s="14"/>
      <c r="L62" s="14"/>
      <c r="M62" s="14"/>
      <c r="N62" s="14"/>
      <c r="O62" s="14"/>
      <c r="P62" s="14"/>
      <c r="Q62" s="14"/>
    </row>
    <row r="64" spans="1:17">
      <c r="A64" s="5" t="s">
        <v>82</v>
      </c>
      <c r="B64" s="6" t="s">
        <v>83</v>
      </c>
      <c r="C64" s="7"/>
      <c r="D64" s="7"/>
      <c r="E64" s="7"/>
      <c r="F64" s="7"/>
      <c r="G64" s="7"/>
      <c r="H64" s="7"/>
      <c r="I64" s="7"/>
      <c r="J64" s="7"/>
      <c r="K64" s="7"/>
      <c r="L64" s="7"/>
      <c r="M64" s="7"/>
      <c r="N64" s="7"/>
      <c r="O64" s="7"/>
      <c r="P64" s="7"/>
      <c r="Q64" s="7"/>
    </row>
    <row r="65" spans="1:17" ht="25.5">
      <c r="A65" s="8"/>
      <c r="B65" s="8"/>
      <c r="C65" s="8" t="s">
        <v>84</v>
      </c>
      <c r="D65" s="9">
        <v>45291</v>
      </c>
      <c r="E65" s="8" t="s">
        <v>25</v>
      </c>
      <c r="F65" s="8" t="s">
        <v>85</v>
      </c>
      <c r="G65" s="10">
        <v>154.5</v>
      </c>
      <c r="H65" s="10">
        <v>0</v>
      </c>
      <c r="I65" s="10">
        <v>154.5</v>
      </c>
      <c r="J65" s="10">
        <f>I65-H65</f>
        <v>154.5</v>
      </c>
      <c r="K65" s="11">
        <v>1</v>
      </c>
      <c r="L65" s="9">
        <v>45337</v>
      </c>
      <c r="M65" s="9">
        <v>45337</v>
      </c>
      <c r="N65" s="10">
        <f>G65-MAX(H65,I65)</f>
        <v>0</v>
      </c>
      <c r="O65" s="12" t="s">
        <v>54</v>
      </c>
      <c r="P65" s="37" t="s">
        <v>164</v>
      </c>
      <c r="Q65" s="13"/>
    </row>
    <row r="66" spans="1:17">
      <c r="A66" s="14"/>
      <c r="B66" s="14"/>
      <c r="C66" s="14"/>
      <c r="D66" s="14"/>
      <c r="E66" s="14"/>
      <c r="F66" s="15" t="s">
        <v>86</v>
      </c>
      <c r="G66" s="16">
        <f>SUM(G65:G65)</f>
        <v>154.5</v>
      </c>
      <c r="H66" s="16">
        <f>SUM(H65:H65)</f>
        <v>0</v>
      </c>
      <c r="I66" s="16">
        <f>SUM(I65:I65)</f>
        <v>154.5</v>
      </c>
      <c r="J66" s="16">
        <f>SUM(J65:J65)</f>
        <v>154.5</v>
      </c>
      <c r="K66" s="14"/>
      <c r="L66" s="14"/>
      <c r="M66" s="14"/>
      <c r="N66" s="14"/>
      <c r="O66" s="14"/>
      <c r="P66" s="14"/>
      <c r="Q66" s="14"/>
    </row>
    <row r="68" spans="1:17">
      <c r="A68" s="5" t="s">
        <v>87</v>
      </c>
      <c r="B68" s="6" t="s">
        <v>88</v>
      </c>
      <c r="C68" s="7"/>
      <c r="D68" s="7"/>
      <c r="E68" s="7"/>
      <c r="F68" s="7"/>
      <c r="G68" s="7"/>
      <c r="H68" s="7"/>
      <c r="I68" s="7"/>
      <c r="J68" s="7"/>
      <c r="K68" s="7"/>
      <c r="L68" s="7"/>
      <c r="M68" s="7"/>
      <c r="N68" s="7"/>
      <c r="O68" s="7"/>
      <c r="P68" s="7"/>
      <c r="Q68" s="7"/>
    </row>
    <row r="69" spans="1:17" ht="25.5">
      <c r="A69" s="8"/>
      <c r="B69" s="8"/>
      <c r="C69" s="8" t="s">
        <v>89</v>
      </c>
      <c r="D69" s="9">
        <v>42825</v>
      </c>
      <c r="E69" s="8" t="s">
        <v>25</v>
      </c>
      <c r="F69" s="8" t="s">
        <v>26</v>
      </c>
      <c r="G69" s="10">
        <v>103</v>
      </c>
      <c r="H69" s="10">
        <v>103</v>
      </c>
      <c r="I69" s="10">
        <v>3</v>
      </c>
      <c r="J69" s="10">
        <f>I69-H69</f>
        <v>-100</v>
      </c>
      <c r="K69" s="11">
        <v>1</v>
      </c>
      <c r="L69" s="9">
        <v>42845</v>
      </c>
      <c r="M69" s="9">
        <v>42845</v>
      </c>
      <c r="N69" s="10">
        <f>G69-MAX(H69,I69)</f>
        <v>0</v>
      </c>
      <c r="O69" s="12" t="s">
        <v>27</v>
      </c>
      <c r="P69" s="37" t="s">
        <v>165</v>
      </c>
      <c r="Q69" s="13"/>
    </row>
    <row r="70" spans="1:17">
      <c r="A70" s="14"/>
      <c r="B70" s="14"/>
      <c r="C70" s="14"/>
      <c r="D70" s="14"/>
      <c r="E70" s="14"/>
      <c r="F70" s="15" t="s">
        <v>90</v>
      </c>
      <c r="G70" s="16">
        <f>SUM(G69:G69)</f>
        <v>103</v>
      </c>
      <c r="H70" s="16">
        <f>SUM(H69:H69)</f>
        <v>103</v>
      </c>
      <c r="I70" s="16">
        <f>SUM(I69:I69)</f>
        <v>3</v>
      </c>
      <c r="J70" s="16">
        <f>SUM(J69:J69)</f>
        <v>-100</v>
      </c>
      <c r="K70" s="14"/>
      <c r="L70" s="14"/>
      <c r="M70" s="14"/>
      <c r="N70" s="14"/>
      <c r="O70" s="14"/>
      <c r="P70" s="14"/>
      <c r="Q70" s="14"/>
    </row>
    <row r="72" spans="1:17">
      <c r="A72" s="38" t="s">
        <v>91</v>
      </c>
      <c r="B72" s="6" t="s">
        <v>92</v>
      </c>
      <c r="C72" s="7"/>
      <c r="D72" s="7"/>
      <c r="E72" s="7"/>
      <c r="F72" s="7"/>
      <c r="G72" s="7"/>
      <c r="H72" s="7"/>
      <c r="I72" s="7"/>
      <c r="J72" s="7"/>
      <c r="K72" s="7"/>
      <c r="L72" s="7"/>
      <c r="M72" s="7"/>
      <c r="N72" s="7"/>
      <c r="O72" s="7"/>
      <c r="P72" s="7"/>
      <c r="Q72" s="7"/>
    </row>
    <row r="73" spans="1:17" ht="25.5">
      <c r="A73" s="8"/>
      <c r="B73" s="8"/>
      <c r="C73" s="8" t="s">
        <v>93</v>
      </c>
      <c r="D73" s="9">
        <v>45896</v>
      </c>
      <c r="E73" s="8" t="s">
        <v>25</v>
      </c>
      <c r="F73" s="8" t="s">
        <v>53</v>
      </c>
      <c r="G73" s="10">
        <v>7276</v>
      </c>
      <c r="H73" s="10">
        <v>7276</v>
      </c>
      <c r="I73" s="10">
        <v>3400</v>
      </c>
      <c r="J73" s="10">
        <f>I73-H73</f>
        <v>-3876</v>
      </c>
      <c r="K73" s="11">
        <v>1</v>
      </c>
      <c r="L73" s="9">
        <v>45896</v>
      </c>
      <c r="M73" s="9">
        <v>45896</v>
      </c>
      <c r="N73" s="10">
        <f>G73-MAX(H73,I73)</f>
        <v>0</v>
      </c>
      <c r="O73" s="12" t="s">
        <v>27</v>
      </c>
      <c r="P73" s="37" t="s">
        <v>166</v>
      </c>
      <c r="Q73" s="13"/>
    </row>
    <row r="74" spans="1:17">
      <c r="A74" s="14"/>
      <c r="B74" s="14"/>
      <c r="C74" s="14"/>
      <c r="D74" s="14"/>
      <c r="E74" s="14"/>
      <c r="F74" s="15" t="s">
        <v>94</v>
      </c>
      <c r="G74" s="16">
        <f>SUM(G73:G73)</f>
        <v>7276</v>
      </c>
      <c r="H74" s="16">
        <f>SUM(H73:H73)</f>
        <v>7276</v>
      </c>
      <c r="I74" s="16">
        <f>SUM(I73:I73)</f>
        <v>3400</v>
      </c>
      <c r="J74" s="16">
        <f>SUM(J73:J73)</f>
        <v>-3876</v>
      </c>
      <c r="K74" s="14"/>
      <c r="L74" s="14"/>
      <c r="M74" s="14"/>
      <c r="N74" s="14"/>
      <c r="O74" s="14"/>
      <c r="P74" s="14"/>
      <c r="Q74" s="14"/>
    </row>
    <row r="76" spans="1:17">
      <c r="A76" s="38" t="s">
        <v>95</v>
      </c>
      <c r="B76" s="6" t="s">
        <v>96</v>
      </c>
      <c r="C76" s="7"/>
      <c r="D76" s="7"/>
      <c r="E76" s="7"/>
      <c r="F76" s="7"/>
      <c r="G76" s="7"/>
      <c r="H76" s="7"/>
      <c r="I76" s="7"/>
      <c r="J76" s="7"/>
      <c r="K76" s="7"/>
      <c r="L76" s="7"/>
      <c r="M76" s="7"/>
      <c r="N76" s="7"/>
      <c r="O76" s="7"/>
      <c r="P76" s="7"/>
      <c r="Q76" s="7"/>
    </row>
    <row r="77" spans="1:17" ht="25.5">
      <c r="A77" s="8"/>
      <c r="B77" s="8"/>
      <c r="C77" s="8" t="s">
        <v>97</v>
      </c>
      <c r="D77" s="9">
        <v>44742</v>
      </c>
      <c r="E77" s="8" t="s">
        <v>25</v>
      </c>
      <c r="F77" s="8" t="s">
        <v>26</v>
      </c>
      <c r="G77" s="10">
        <v>2197.2600000000002</v>
      </c>
      <c r="H77" s="10">
        <v>4394.5200000000004</v>
      </c>
      <c r="I77" s="10">
        <v>2197.2600000000002</v>
      </c>
      <c r="J77" s="10">
        <f>I77-H77</f>
        <v>-2197.2600000000002</v>
      </c>
      <c r="K77" s="11">
        <v>1</v>
      </c>
      <c r="L77" s="9">
        <v>44827</v>
      </c>
      <c r="M77" s="9">
        <v>44827</v>
      </c>
      <c r="N77" s="10">
        <f>G77-MAX(H77,I77)</f>
        <v>-2197.2600000000002</v>
      </c>
      <c r="O77" s="12" t="s">
        <v>98</v>
      </c>
      <c r="P77" s="37" t="s">
        <v>165</v>
      </c>
      <c r="Q77" s="13"/>
    </row>
    <row r="78" spans="1:17">
      <c r="A78" s="14"/>
      <c r="B78" s="14"/>
      <c r="C78" s="14"/>
      <c r="D78" s="14"/>
      <c r="E78" s="14"/>
      <c r="F78" s="15" t="s">
        <v>99</v>
      </c>
      <c r="G78" s="16">
        <f>SUM(G77:G77)</f>
        <v>2197.2600000000002</v>
      </c>
      <c r="H78" s="16">
        <f>SUM(H77:H77)</f>
        <v>4394.5200000000004</v>
      </c>
      <c r="I78" s="16">
        <f>SUM(I77:I77)</f>
        <v>2197.2600000000002</v>
      </c>
      <c r="J78" s="16">
        <f>SUM(J77:J77)</f>
        <v>-2197.2600000000002</v>
      </c>
      <c r="K78" s="14"/>
      <c r="L78" s="14"/>
      <c r="M78" s="14"/>
      <c r="N78" s="14"/>
      <c r="O78" s="14"/>
      <c r="P78" s="14"/>
      <c r="Q78" s="14"/>
    </row>
    <row r="80" spans="1:17">
      <c r="A80" s="5" t="s">
        <v>100</v>
      </c>
      <c r="B80" s="6" t="s">
        <v>101</v>
      </c>
      <c r="C80" s="7"/>
      <c r="D80" s="7"/>
      <c r="E80" s="7"/>
      <c r="F80" s="7"/>
      <c r="G80" s="7"/>
      <c r="H80" s="7"/>
      <c r="I80" s="7"/>
      <c r="J80" s="7"/>
      <c r="K80" s="7"/>
      <c r="L80" s="7"/>
      <c r="M80" s="7"/>
      <c r="N80" s="7"/>
      <c r="O80" s="7"/>
      <c r="P80" s="7"/>
      <c r="Q80" s="7"/>
    </row>
    <row r="81" spans="1:17" ht="25.5">
      <c r="A81" s="8"/>
      <c r="B81" s="8"/>
      <c r="C81" s="8" t="s">
        <v>102</v>
      </c>
      <c r="D81" s="9">
        <v>43404</v>
      </c>
      <c r="E81" s="8" t="s">
        <v>25</v>
      </c>
      <c r="F81" s="8" t="s">
        <v>26</v>
      </c>
      <c r="G81" s="10">
        <v>120</v>
      </c>
      <c r="H81" s="10">
        <v>120</v>
      </c>
      <c r="I81" s="10">
        <v>60</v>
      </c>
      <c r="J81" s="10">
        <f>I81-H81</f>
        <v>-60</v>
      </c>
      <c r="K81" s="11">
        <v>1</v>
      </c>
      <c r="L81" s="9">
        <v>43404</v>
      </c>
      <c r="M81" s="9">
        <v>43404</v>
      </c>
      <c r="N81" s="10">
        <f>G81-MAX(H81,I81)</f>
        <v>0</v>
      </c>
      <c r="O81" s="12" t="s">
        <v>36</v>
      </c>
      <c r="P81" s="37" t="s">
        <v>167</v>
      </c>
      <c r="Q81" s="13"/>
    </row>
    <row r="82" spans="1:17" ht="25.5">
      <c r="A82" s="8"/>
      <c r="B82" s="8"/>
      <c r="C82" s="8" t="s">
        <v>103</v>
      </c>
      <c r="D82" s="9">
        <v>43496</v>
      </c>
      <c r="E82" s="8" t="s">
        <v>25</v>
      </c>
      <c r="F82" s="8" t="s">
        <v>26</v>
      </c>
      <c r="G82" s="10">
        <v>240</v>
      </c>
      <c r="H82" s="10">
        <v>240</v>
      </c>
      <c r="I82" s="10">
        <v>180</v>
      </c>
      <c r="J82" s="10">
        <f>I82-H82</f>
        <v>-60</v>
      </c>
      <c r="K82" s="11">
        <v>1</v>
      </c>
      <c r="L82" s="9">
        <v>43496</v>
      </c>
      <c r="M82" s="9">
        <v>43496</v>
      </c>
      <c r="N82" s="10">
        <f>G82-MAX(H82,I82)</f>
        <v>0</v>
      </c>
      <c r="O82" s="12" t="s">
        <v>27</v>
      </c>
      <c r="P82" s="37" t="s">
        <v>167</v>
      </c>
      <c r="Q82" s="13"/>
    </row>
    <row r="83" spans="1:17">
      <c r="A83" s="14"/>
      <c r="B83" s="14"/>
      <c r="C83" s="14"/>
      <c r="D83" s="14"/>
      <c r="E83" s="14"/>
      <c r="F83" s="15" t="s">
        <v>104</v>
      </c>
      <c r="G83" s="16">
        <f>SUM(G81:G82)</f>
        <v>360</v>
      </c>
      <c r="H83" s="16">
        <f>SUM(H81:H82)</f>
        <v>360</v>
      </c>
      <c r="I83" s="16">
        <f>SUM(I81:I82)</f>
        <v>240</v>
      </c>
      <c r="J83" s="16">
        <f>SUM(J81:J82)</f>
        <v>-120</v>
      </c>
      <c r="K83" s="14"/>
      <c r="L83" s="14"/>
      <c r="M83" s="14"/>
      <c r="N83" s="14"/>
      <c r="O83" s="14"/>
      <c r="P83" s="14"/>
      <c r="Q83" s="14"/>
    </row>
    <row r="85" spans="1:17">
      <c r="A85" s="5" t="s">
        <v>105</v>
      </c>
      <c r="B85" s="6" t="s">
        <v>106</v>
      </c>
      <c r="C85" s="7"/>
      <c r="D85" s="7"/>
      <c r="E85" s="7"/>
      <c r="F85" s="7"/>
      <c r="G85" s="7"/>
      <c r="H85" s="7"/>
      <c r="I85" s="7"/>
      <c r="J85" s="7"/>
      <c r="K85" s="7"/>
      <c r="L85" s="7"/>
      <c r="M85" s="7"/>
      <c r="N85" s="7"/>
      <c r="O85" s="7"/>
      <c r="P85" s="7"/>
      <c r="Q85" s="7"/>
    </row>
    <row r="86" spans="1:17" ht="25.5">
      <c r="A86" s="8"/>
      <c r="B86" s="8"/>
      <c r="C86" s="8" t="s">
        <v>107</v>
      </c>
      <c r="D86" s="9">
        <v>42735</v>
      </c>
      <c r="E86" s="8" t="s">
        <v>25</v>
      </c>
      <c r="F86" s="8" t="s">
        <v>26</v>
      </c>
      <c r="G86" s="10">
        <v>1694.88</v>
      </c>
      <c r="H86" s="10">
        <v>1694.88</v>
      </c>
      <c r="I86" s="10">
        <v>871.41</v>
      </c>
      <c r="J86" s="10">
        <f>I86-H86</f>
        <v>-823.47000000000014</v>
      </c>
      <c r="K86" s="11">
        <v>1</v>
      </c>
      <c r="L86" s="9">
        <v>43181</v>
      </c>
      <c r="M86" s="9">
        <v>43181</v>
      </c>
      <c r="N86" s="10">
        <f>G86-MAX(H86,I86)</f>
        <v>0</v>
      </c>
      <c r="O86" s="12" t="s">
        <v>27</v>
      </c>
      <c r="P86" s="37" t="s">
        <v>168</v>
      </c>
      <c r="Q86" s="13"/>
    </row>
    <row r="87" spans="1:17">
      <c r="A87" s="14"/>
      <c r="B87" s="14"/>
      <c r="C87" s="14"/>
      <c r="D87" s="14"/>
      <c r="E87" s="14"/>
      <c r="F87" s="15" t="s">
        <v>108</v>
      </c>
      <c r="G87" s="16">
        <f>SUM(G86:G86)</f>
        <v>1694.88</v>
      </c>
      <c r="H87" s="16">
        <f>SUM(H86:H86)</f>
        <v>1694.88</v>
      </c>
      <c r="I87" s="16">
        <f>SUM(I86:I86)</f>
        <v>871.41</v>
      </c>
      <c r="J87" s="16">
        <f>SUM(J86:J86)</f>
        <v>-823.47000000000014</v>
      </c>
      <c r="K87" s="14"/>
      <c r="L87" s="14"/>
      <c r="M87" s="14"/>
      <c r="N87" s="14"/>
      <c r="O87" s="14"/>
      <c r="P87" s="14"/>
      <c r="Q87" s="14"/>
    </row>
    <row r="89" spans="1:17">
      <c r="A89" s="5" t="s">
        <v>109</v>
      </c>
      <c r="B89" s="6" t="s">
        <v>110</v>
      </c>
      <c r="C89" s="7"/>
      <c r="D89" s="7"/>
      <c r="E89" s="7"/>
      <c r="F89" s="7"/>
      <c r="G89" s="7"/>
      <c r="H89" s="7"/>
      <c r="I89" s="7"/>
      <c r="J89" s="7"/>
      <c r="K89" s="7"/>
      <c r="L89" s="7"/>
      <c r="M89" s="7"/>
      <c r="N89" s="7"/>
      <c r="O89" s="7"/>
      <c r="P89" s="7"/>
      <c r="Q89" s="7"/>
    </row>
    <row r="90" spans="1:17" ht="25.5">
      <c r="A90" s="8"/>
      <c r="B90" s="8"/>
      <c r="C90" s="8" t="s">
        <v>111</v>
      </c>
      <c r="D90" s="9">
        <v>42978</v>
      </c>
      <c r="E90" s="8" t="s">
        <v>25</v>
      </c>
      <c r="F90" s="8" t="s">
        <v>26</v>
      </c>
      <c r="G90" s="10">
        <v>767.97</v>
      </c>
      <c r="H90" s="10">
        <v>767.97</v>
      </c>
      <c r="I90" s="10">
        <v>469.05</v>
      </c>
      <c r="J90" s="10">
        <f>I90-H90</f>
        <v>-298.92</v>
      </c>
      <c r="K90" s="11">
        <v>1</v>
      </c>
      <c r="L90" s="9">
        <v>42978</v>
      </c>
      <c r="M90" s="9">
        <v>42978</v>
      </c>
      <c r="N90" s="10">
        <f>G90-MAX(H90,I90)</f>
        <v>0</v>
      </c>
      <c r="O90" s="12" t="s">
        <v>27</v>
      </c>
      <c r="P90" s="37" t="s">
        <v>165</v>
      </c>
      <c r="Q90" s="13"/>
    </row>
    <row r="91" spans="1:17">
      <c r="A91" s="14"/>
      <c r="B91" s="14"/>
      <c r="C91" s="14"/>
      <c r="D91" s="14"/>
      <c r="E91" s="14"/>
      <c r="F91" s="15" t="s">
        <v>112</v>
      </c>
      <c r="G91" s="16">
        <f>SUM(G90:G90)</f>
        <v>767.97</v>
      </c>
      <c r="H91" s="16">
        <f>SUM(H90:H90)</f>
        <v>767.97</v>
      </c>
      <c r="I91" s="16">
        <f>SUM(I90:I90)</f>
        <v>469.05</v>
      </c>
      <c r="J91" s="16">
        <f>SUM(J90:J90)</f>
        <v>-298.92</v>
      </c>
      <c r="K91" s="14"/>
      <c r="L91" s="14"/>
      <c r="M91" s="14"/>
      <c r="N91" s="14"/>
      <c r="O91" s="14"/>
      <c r="P91" s="14"/>
      <c r="Q91" s="14"/>
    </row>
    <row r="93" spans="1:17">
      <c r="A93" s="5" t="s">
        <v>113</v>
      </c>
      <c r="B93" s="6" t="s">
        <v>114</v>
      </c>
      <c r="C93" s="7"/>
      <c r="D93" s="7"/>
      <c r="E93" s="7"/>
      <c r="F93" s="7"/>
      <c r="G93" s="7"/>
      <c r="H93" s="7"/>
      <c r="I93" s="7"/>
      <c r="J93" s="7"/>
      <c r="K93" s="7"/>
      <c r="L93" s="7"/>
      <c r="M93" s="7"/>
      <c r="N93" s="7"/>
      <c r="O93" s="7"/>
      <c r="P93" s="7"/>
      <c r="Q93" s="7"/>
    </row>
    <row r="94" spans="1:17" ht="25.5">
      <c r="A94" s="8"/>
      <c r="B94" s="8"/>
      <c r="C94" s="8" t="s">
        <v>115</v>
      </c>
      <c r="D94" s="9">
        <v>43861</v>
      </c>
      <c r="E94" s="8" t="s">
        <v>25</v>
      </c>
      <c r="F94" s="8" t="s">
        <v>26</v>
      </c>
      <c r="G94" s="10">
        <v>836.88</v>
      </c>
      <c r="H94" s="10">
        <v>836.88</v>
      </c>
      <c r="I94" s="10">
        <v>486.88</v>
      </c>
      <c r="J94" s="10">
        <f>I94-H94</f>
        <v>-350</v>
      </c>
      <c r="K94" s="11">
        <v>2</v>
      </c>
      <c r="L94" s="9">
        <v>44043</v>
      </c>
      <c r="M94" s="9">
        <v>44126</v>
      </c>
      <c r="N94" s="10">
        <f>G94-MAX(H94,I94)</f>
        <v>0</v>
      </c>
      <c r="O94" s="12" t="s">
        <v>27</v>
      </c>
      <c r="P94" s="37" t="s">
        <v>165</v>
      </c>
      <c r="Q94" s="13"/>
    </row>
    <row r="95" spans="1:17">
      <c r="A95" s="14"/>
      <c r="B95" s="14"/>
      <c r="C95" s="14"/>
      <c r="D95" s="14"/>
      <c r="E95" s="14"/>
      <c r="F95" s="15" t="s">
        <v>116</v>
      </c>
      <c r="G95" s="16">
        <f>SUM(G94:G94)</f>
        <v>836.88</v>
      </c>
      <c r="H95" s="16">
        <f>SUM(H94:H94)</f>
        <v>836.88</v>
      </c>
      <c r="I95" s="16">
        <f>SUM(I94:I94)</f>
        <v>486.88</v>
      </c>
      <c r="J95" s="16">
        <f>SUM(J94:J94)</f>
        <v>-350</v>
      </c>
      <c r="K95" s="14"/>
      <c r="L95" s="14"/>
      <c r="M95" s="14"/>
      <c r="N95" s="14"/>
      <c r="O95" s="14"/>
      <c r="P95" s="14"/>
      <c r="Q95" s="14"/>
    </row>
    <row r="97" spans="1:17">
      <c r="A97" s="5" t="s">
        <v>117</v>
      </c>
      <c r="B97" s="6" t="s">
        <v>118</v>
      </c>
      <c r="C97" s="7"/>
      <c r="D97" s="7"/>
      <c r="E97" s="7"/>
      <c r="F97" s="7"/>
      <c r="G97" s="7"/>
      <c r="H97" s="7"/>
      <c r="I97" s="7"/>
      <c r="J97" s="7"/>
      <c r="K97" s="7"/>
      <c r="L97" s="7"/>
      <c r="M97" s="7"/>
      <c r="N97" s="7"/>
      <c r="O97" s="7"/>
      <c r="P97" s="7"/>
      <c r="Q97" s="7"/>
    </row>
    <row r="98" spans="1:17" ht="25.5">
      <c r="A98" s="8"/>
      <c r="B98" s="8"/>
      <c r="C98" s="8" t="s">
        <v>119</v>
      </c>
      <c r="D98" s="9">
        <v>43312</v>
      </c>
      <c r="E98" s="8" t="s">
        <v>25</v>
      </c>
      <c r="F98" s="8" t="s">
        <v>26</v>
      </c>
      <c r="G98" s="10">
        <v>1680</v>
      </c>
      <c r="H98" s="10">
        <v>1680</v>
      </c>
      <c r="I98" s="10">
        <v>900</v>
      </c>
      <c r="J98" s="10">
        <f>I98-H98</f>
        <v>-780</v>
      </c>
      <c r="K98" s="11">
        <v>1</v>
      </c>
      <c r="L98" s="9">
        <v>43322</v>
      </c>
      <c r="M98" s="9">
        <v>43322</v>
      </c>
      <c r="N98" s="10">
        <f>G98-MAX(H98,I98)</f>
        <v>0</v>
      </c>
      <c r="O98" s="12" t="s">
        <v>27</v>
      </c>
      <c r="P98" s="37" t="s">
        <v>165</v>
      </c>
      <c r="Q98" s="13"/>
    </row>
    <row r="99" spans="1:17" ht="25.5">
      <c r="A99" s="8"/>
      <c r="B99" s="8"/>
      <c r="C99" s="8" t="s">
        <v>120</v>
      </c>
      <c r="D99" s="9">
        <v>45260</v>
      </c>
      <c r="E99" s="8" t="s">
        <v>25</v>
      </c>
      <c r="F99" s="8" t="s">
        <v>26</v>
      </c>
      <c r="G99" s="10">
        <v>210</v>
      </c>
      <c r="H99" s="10">
        <v>210</v>
      </c>
      <c r="I99" s="10">
        <v>208.6</v>
      </c>
      <c r="J99" s="10">
        <f>I99-H99</f>
        <v>-1.4000000000000057</v>
      </c>
      <c r="K99" s="11">
        <v>1</v>
      </c>
      <c r="L99" s="9">
        <v>45273</v>
      </c>
      <c r="M99" s="9">
        <v>45273</v>
      </c>
      <c r="N99" s="10">
        <f>G99-MAX(H99,I99)</f>
        <v>0</v>
      </c>
      <c r="O99" s="12" t="s">
        <v>27</v>
      </c>
      <c r="P99" s="37" t="s">
        <v>165</v>
      </c>
      <c r="Q99" s="13"/>
    </row>
    <row r="100" spans="1:17">
      <c r="A100" s="14"/>
      <c r="B100" s="14"/>
      <c r="C100" s="14"/>
      <c r="D100" s="14"/>
      <c r="E100" s="14"/>
      <c r="F100" s="15" t="s">
        <v>121</v>
      </c>
      <c r="G100" s="16">
        <f>SUM(G98:G99)</f>
        <v>1890</v>
      </c>
      <c r="H100" s="16">
        <f>SUM(H98:H99)</f>
        <v>1890</v>
      </c>
      <c r="I100" s="16">
        <f>SUM(I98:I99)</f>
        <v>1108.5999999999999</v>
      </c>
      <c r="J100" s="16">
        <f>SUM(J98:J99)</f>
        <v>-781.4</v>
      </c>
      <c r="K100" s="14"/>
      <c r="L100" s="14"/>
      <c r="M100" s="14"/>
      <c r="N100" s="14"/>
      <c r="O100" s="14"/>
      <c r="P100" s="14"/>
      <c r="Q100" s="14"/>
    </row>
    <row r="102" spans="1:17">
      <c r="A102" s="5" t="s">
        <v>122</v>
      </c>
      <c r="B102" s="6" t="s">
        <v>123</v>
      </c>
      <c r="C102" s="7"/>
      <c r="D102" s="7"/>
      <c r="E102" s="7"/>
      <c r="F102" s="7"/>
      <c r="G102" s="7"/>
      <c r="H102" s="7"/>
      <c r="I102" s="7"/>
      <c r="J102" s="7"/>
      <c r="K102" s="7"/>
      <c r="L102" s="7"/>
      <c r="M102" s="7"/>
      <c r="N102" s="7"/>
      <c r="O102" s="7"/>
      <c r="P102" s="7"/>
      <c r="Q102" s="7"/>
    </row>
    <row r="103" spans="1:17" ht="25.5">
      <c r="A103" s="8"/>
      <c r="B103" s="8"/>
      <c r="C103" s="8" t="s">
        <v>124</v>
      </c>
      <c r="D103" s="9">
        <v>46265</v>
      </c>
      <c r="E103" s="8" t="s">
        <v>25</v>
      </c>
      <c r="F103" s="8" t="s">
        <v>26</v>
      </c>
      <c r="G103" s="10">
        <v>1080</v>
      </c>
      <c r="H103" s="10">
        <v>2160</v>
      </c>
      <c r="I103" s="10">
        <v>1080</v>
      </c>
      <c r="J103" s="10">
        <f>I103-H103</f>
        <v>-1080</v>
      </c>
      <c r="K103" s="11">
        <v>1</v>
      </c>
      <c r="L103" s="9">
        <v>46269</v>
      </c>
      <c r="M103" s="9">
        <v>46269</v>
      </c>
      <c r="N103" s="10">
        <f>G103-MAX(H103,I103)</f>
        <v>-1080</v>
      </c>
      <c r="O103" s="12" t="s">
        <v>98</v>
      </c>
      <c r="P103" s="37" t="s">
        <v>165</v>
      </c>
      <c r="Q103" s="13"/>
    </row>
    <row r="104" spans="1:17">
      <c r="A104" s="14"/>
      <c r="B104" s="14"/>
      <c r="C104" s="14"/>
      <c r="D104" s="14"/>
      <c r="E104" s="14"/>
      <c r="F104" s="15" t="s">
        <v>125</v>
      </c>
      <c r="G104" s="16">
        <f>SUM(G103:G103)</f>
        <v>1080</v>
      </c>
      <c r="H104" s="16">
        <f>SUM(H103:H103)</f>
        <v>2160</v>
      </c>
      <c r="I104" s="16">
        <f>SUM(I103:I103)</f>
        <v>1080</v>
      </c>
      <c r="J104" s="16">
        <f>SUM(J103:J103)</f>
        <v>-1080</v>
      </c>
      <c r="K104" s="14"/>
      <c r="L104" s="14"/>
      <c r="M104" s="14"/>
      <c r="N104" s="14"/>
      <c r="O104" s="14"/>
      <c r="P104" s="14"/>
      <c r="Q104" s="14"/>
    </row>
    <row r="106" spans="1:17">
      <c r="A106" s="5" t="s">
        <v>126</v>
      </c>
      <c r="B106" s="6"/>
      <c r="C106" s="7"/>
      <c r="D106" s="7"/>
      <c r="E106" s="7"/>
      <c r="F106" s="7"/>
      <c r="G106" s="7"/>
      <c r="H106" s="7"/>
      <c r="I106" s="7"/>
      <c r="J106" s="7"/>
      <c r="K106" s="7"/>
      <c r="L106" s="7"/>
      <c r="M106" s="7"/>
      <c r="N106" s="7"/>
      <c r="O106" s="7"/>
      <c r="P106" s="7"/>
      <c r="Q106" s="7"/>
    </row>
    <row r="107" spans="1:17" ht="25.5">
      <c r="A107" s="8"/>
      <c r="B107" s="8"/>
      <c r="C107" s="8" t="s">
        <v>127</v>
      </c>
      <c r="D107" s="9">
        <v>45019</v>
      </c>
      <c r="E107" s="8" t="s">
        <v>25</v>
      </c>
      <c r="F107" s="8" t="s">
        <v>85</v>
      </c>
      <c r="G107" s="10">
        <v>139.05000000000001</v>
      </c>
      <c r="H107" s="10">
        <v>0</v>
      </c>
      <c r="I107" s="10">
        <v>139.05000000000001</v>
      </c>
      <c r="J107" s="10">
        <f>I107-H107</f>
        <v>139.05000000000001</v>
      </c>
      <c r="K107" s="11">
        <v>2</v>
      </c>
      <c r="L107" s="9">
        <v>44981</v>
      </c>
      <c r="M107" s="9">
        <v>44996</v>
      </c>
      <c r="N107" s="10">
        <f>G107-MAX(H107,I107)</f>
        <v>0</v>
      </c>
      <c r="O107" s="12" t="s">
        <v>54</v>
      </c>
      <c r="P107" s="37" t="s">
        <v>165</v>
      </c>
      <c r="Q107" s="13"/>
    </row>
    <row r="108" spans="1:17">
      <c r="A108" s="14"/>
      <c r="B108" s="14"/>
      <c r="C108" s="14"/>
      <c r="D108" s="14"/>
      <c r="E108" s="14"/>
      <c r="F108" s="15" t="s">
        <v>128</v>
      </c>
      <c r="G108" s="16">
        <f>SUM(G107:G107)</f>
        <v>139.05000000000001</v>
      </c>
      <c r="H108" s="16">
        <f>SUM(H107:H107)</f>
        <v>0</v>
      </c>
      <c r="I108" s="16">
        <f>SUM(I107:I107)</f>
        <v>139.05000000000001</v>
      </c>
      <c r="J108" s="16">
        <f>SUM(J107:J107)</f>
        <v>139.05000000000001</v>
      </c>
      <c r="K108" s="14"/>
      <c r="L108" s="14"/>
      <c r="M108" s="14"/>
      <c r="N108" s="14"/>
      <c r="O108" s="14"/>
      <c r="P108" s="14"/>
      <c r="Q108" s="14"/>
    </row>
    <row r="110" spans="1:17">
      <c r="A110" s="5" t="s">
        <v>129</v>
      </c>
      <c r="B110" s="6" t="s">
        <v>130</v>
      </c>
      <c r="C110" s="7"/>
      <c r="D110" s="7"/>
      <c r="E110" s="7"/>
      <c r="F110" s="7"/>
      <c r="G110" s="7"/>
      <c r="H110" s="7"/>
      <c r="I110" s="7"/>
      <c r="J110" s="7"/>
      <c r="K110" s="7"/>
      <c r="L110" s="7"/>
      <c r="M110" s="7"/>
      <c r="N110" s="7"/>
      <c r="O110" s="7"/>
      <c r="P110" s="7"/>
      <c r="Q110" s="7"/>
    </row>
    <row r="111" spans="1:17" ht="25.5">
      <c r="A111" s="8"/>
      <c r="B111" s="8"/>
      <c r="C111" s="8" t="s">
        <v>131</v>
      </c>
      <c r="D111" s="9">
        <v>45251</v>
      </c>
      <c r="E111" s="8" t="s">
        <v>25</v>
      </c>
      <c r="F111" s="8" t="s">
        <v>26</v>
      </c>
      <c r="G111" s="10">
        <v>257.5</v>
      </c>
      <c r="H111" s="10">
        <v>257.5</v>
      </c>
      <c r="I111" s="10">
        <v>128.75</v>
      </c>
      <c r="J111" s="10">
        <f>I111-H111</f>
        <v>-128.75</v>
      </c>
      <c r="K111" s="11">
        <v>1</v>
      </c>
      <c r="L111" s="9">
        <v>45251</v>
      </c>
      <c r="M111" s="9">
        <v>45251</v>
      </c>
      <c r="N111" s="10">
        <f>G111-MAX(H111,I111)</f>
        <v>0</v>
      </c>
      <c r="O111" s="12" t="s">
        <v>36</v>
      </c>
      <c r="P111" s="37" t="s">
        <v>165</v>
      </c>
      <c r="Q111" s="13"/>
    </row>
    <row r="112" spans="1:17">
      <c r="A112" s="14"/>
      <c r="B112" s="14"/>
      <c r="C112" s="14"/>
      <c r="D112" s="14"/>
      <c r="E112" s="14"/>
      <c r="F112" s="15" t="s">
        <v>132</v>
      </c>
      <c r="G112" s="16">
        <f>SUM(G111:G111)</f>
        <v>257.5</v>
      </c>
      <c r="H112" s="16">
        <f>SUM(H111:H111)</f>
        <v>257.5</v>
      </c>
      <c r="I112" s="16">
        <f>SUM(I111:I111)</f>
        <v>128.75</v>
      </c>
      <c r="J112" s="16">
        <f>SUM(J111:J111)</f>
        <v>-128.75</v>
      </c>
      <c r="K112" s="14"/>
      <c r="L112" s="14"/>
      <c r="M112" s="14"/>
      <c r="N112" s="14"/>
      <c r="O112" s="14"/>
      <c r="P112" s="14"/>
      <c r="Q112" s="14"/>
    </row>
    <row r="114" spans="1:17">
      <c r="A114" s="17"/>
      <c r="B114" s="17"/>
      <c r="C114" s="17"/>
      <c r="D114" s="17"/>
      <c r="E114" s="17"/>
      <c r="F114" s="18" t="s">
        <v>133</v>
      </c>
      <c r="G114" s="19">
        <f>SUMIF($C$9:$C$112,"&lt;&gt;",G9:G112)</f>
        <v>117911.59000000001</v>
      </c>
      <c r="H114" s="19">
        <f>SUMIF($C$9:$C$112,"&lt;&gt;",H9:H112)</f>
        <v>111649.10000000002</v>
      </c>
      <c r="I114" s="19">
        <f>SUMIF($C$9:$C$112,"&lt;&gt;",I9:I112)</f>
        <v>82903.620000000024</v>
      </c>
      <c r="J114" s="19">
        <f>I114-H114</f>
        <v>-28745.479999999996</v>
      </c>
      <c r="K114" s="17"/>
      <c r="L114" s="17"/>
      <c r="M114" s="17"/>
      <c r="N114" s="17"/>
      <c r="O114" s="17"/>
      <c r="P114" s="17"/>
      <c r="Q114" s="17"/>
    </row>
  </sheetData>
  <autoFilter ref="A8:Q112"/>
  <mergeCells count="2">
    <mergeCell ref="A6:P6"/>
    <mergeCell ref="A5:P5"/>
  </mergeCells>
  <dataValidations count="1">
    <dataValidation type="list" allowBlank="1" errorTitle="Opcion no valida" error="Elige una de las opciones de la lista." sqref="P9:P112">
      <formula1>"La casilla de la ficha,Los cobros anotados,Hay cobros sin anotar,Es confirming o factoring,Otra cosa - ver notas"</formula1>
    </dataValidation>
  </dataValidations>
  <pageMargins left="0.75" right="0.75" top="1" bottom="1" header="0.5" footer="0.5"/>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1:F30"/>
  <sheetViews>
    <sheetView showGridLines="0" workbookViewId="0">
      <pane ySplit="4" topLeftCell="A5" activePane="bottomLeft" state="frozen"/>
      <selection pane="bottomLeft"/>
    </sheetView>
  </sheetViews>
  <sheetFormatPr baseColWidth="10" defaultColWidth="9.140625" defaultRowHeight="15"/>
  <cols>
    <col min="1" max="1" width="46" customWidth="1"/>
    <col min="2" max="2" width="11" customWidth="1"/>
    <col min="3" max="3" width="18" customWidth="1"/>
    <col min="4" max="4" width="20" customWidth="1"/>
    <col min="5" max="5" width="18" customWidth="1"/>
    <col min="6" max="6" width="16" customWidth="1"/>
  </cols>
  <sheetData>
    <row r="1" spans="1:6" ht="18">
      <c r="A1" s="20" t="s">
        <v>134</v>
      </c>
    </row>
    <row r="2" spans="1:6">
      <c r="A2" s="21" t="s">
        <v>135</v>
      </c>
    </row>
    <row r="4" spans="1:6" ht="30" customHeight="1">
      <c r="A4" s="4" t="s">
        <v>5</v>
      </c>
      <c r="B4" s="4" t="s">
        <v>136</v>
      </c>
      <c r="C4" s="4" t="s">
        <v>137</v>
      </c>
      <c r="D4" s="4" t="s">
        <v>12</v>
      </c>
      <c r="E4" s="4" t="s">
        <v>13</v>
      </c>
      <c r="F4" s="4" t="s">
        <v>14</v>
      </c>
    </row>
    <row r="5" spans="1:6">
      <c r="A5" s="8" t="s">
        <v>22</v>
      </c>
      <c r="B5" s="22">
        <f>COUNTA('Descuadres por cliente'!$C$10:$C$10)</f>
        <v>1</v>
      </c>
      <c r="C5" s="23">
        <f>SUM('Descuadres por cliente'!$G$10:$G$10)</f>
        <v>8942.83</v>
      </c>
      <c r="D5" s="23">
        <f>SUM('Descuadres por cliente'!$H$10:$H$10)</f>
        <v>8942.83</v>
      </c>
      <c r="E5" s="23">
        <f>SUM('Descuadres por cliente'!$I$10:$I$10)</f>
        <v>1942.83</v>
      </c>
      <c r="F5" s="23">
        <f t="shared" ref="F5:F29" si="0">E5-D5</f>
        <v>-7000</v>
      </c>
    </row>
    <row r="6" spans="1:6">
      <c r="A6" s="8" t="s">
        <v>29</v>
      </c>
      <c r="B6" s="22">
        <f>COUNTA('Descuadres por cliente'!$C$14:$C$14)</f>
        <v>1</v>
      </c>
      <c r="C6" s="23">
        <f>SUM('Descuadres por cliente'!$G$14:$G$14)</f>
        <v>206.43</v>
      </c>
      <c r="D6" s="23">
        <f>SUM('Descuadres por cliente'!$H$14:$H$14)</f>
        <v>206.43</v>
      </c>
      <c r="E6" s="23">
        <f>SUM('Descuadres por cliente'!$I$14:$I$14)</f>
        <v>175.1</v>
      </c>
      <c r="F6" s="23">
        <f t="shared" si="0"/>
        <v>-31.330000000000013</v>
      </c>
    </row>
    <row r="7" spans="1:6">
      <c r="A7" s="8" t="s">
        <v>33</v>
      </c>
      <c r="B7" s="22">
        <f>COUNTA('Descuadres por cliente'!$C$18:$C$18)</f>
        <v>1</v>
      </c>
      <c r="C7" s="23">
        <f>SUM('Descuadres por cliente'!$G$18:$G$18)</f>
        <v>5974</v>
      </c>
      <c r="D7" s="23">
        <f>SUM('Descuadres por cliente'!$H$18:$H$18)</f>
        <v>5974</v>
      </c>
      <c r="E7" s="23">
        <f>SUM('Descuadres por cliente'!$I$18:$I$18)</f>
        <v>2987</v>
      </c>
      <c r="F7" s="23">
        <f t="shared" si="0"/>
        <v>-2987</v>
      </c>
    </row>
    <row r="8" spans="1:6">
      <c r="A8" s="8" t="s">
        <v>38</v>
      </c>
      <c r="B8" s="22">
        <f>COUNTA('Descuadres por cliente'!$C$22:$C$23)</f>
        <v>2</v>
      </c>
      <c r="C8" s="23">
        <f>SUM('Descuadres por cliente'!$G$22:$G$23)</f>
        <v>3293.62</v>
      </c>
      <c r="D8" s="23">
        <f>SUM('Descuadres por cliente'!$H$22:$H$23)</f>
        <v>3293.62</v>
      </c>
      <c r="E8" s="23">
        <f>SUM('Descuadres por cliente'!$I$22:$I$23)</f>
        <v>3220.39</v>
      </c>
      <c r="F8" s="23">
        <f t="shared" si="0"/>
        <v>-73.230000000000018</v>
      </c>
    </row>
    <row r="9" spans="1:6">
      <c r="A9" s="8" t="s">
        <v>43</v>
      </c>
      <c r="B9" s="22">
        <f>COUNTA('Descuadres por cliente'!$C$27:$C$29)</f>
        <v>3</v>
      </c>
      <c r="C9" s="23">
        <f>SUM('Descuadres por cliente'!$G$27:$G$29)</f>
        <v>3017.83</v>
      </c>
      <c r="D9" s="23">
        <f>SUM('Descuadres por cliente'!$H$27:$H$29)</f>
        <v>3017.83</v>
      </c>
      <c r="E9" s="23">
        <f>SUM('Descuadres por cliente'!$I$27:$I$29)</f>
        <v>1917.56</v>
      </c>
      <c r="F9" s="23">
        <f t="shared" si="0"/>
        <v>-1100.27</v>
      </c>
    </row>
    <row r="10" spans="1:6">
      <c r="A10" s="8" t="s">
        <v>49</v>
      </c>
      <c r="B10" s="22">
        <f>COUNTA('Descuadres por cliente'!$C$33:$C$33)</f>
        <v>1</v>
      </c>
      <c r="C10" s="23">
        <f>SUM('Descuadres por cliente'!$G$33:$G$33)</f>
        <v>9246.2000000000007</v>
      </c>
      <c r="D10" s="23">
        <f>SUM('Descuadres por cliente'!$H$33:$H$33)</f>
        <v>0</v>
      </c>
      <c r="E10" s="23">
        <f>SUM('Descuadres por cliente'!$I$33:$I$33)</f>
        <v>2169.4899999999998</v>
      </c>
      <c r="F10" s="23">
        <f t="shared" si="0"/>
        <v>2169.4899999999998</v>
      </c>
    </row>
    <row r="11" spans="1:6">
      <c r="A11" s="8" t="s">
        <v>56</v>
      </c>
      <c r="B11" s="22">
        <f>COUNTA('Descuadres por cliente'!$C$37:$C$37)</f>
        <v>1</v>
      </c>
      <c r="C11" s="23">
        <f>SUM('Descuadres por cliente'!$G$37:$G$37)</f>
        <v>264</v>
      </c>
      <c r="D11" s="23">
        <f>SUM('Descuadres por cliente'!$H$37:$H$37)</f>
        <v>264</v>
      </c>
      <c r="E11" s="23">
        <f>SUM('Descuadres por cliente'!$I$37:$I$37)</f>
        <v>198</v>
      </c>
      <c r="F11" s="23">
        <f t="shared" si="0"/>
        <v>-66</v>
      </c>
    </row>
    <row r="12" spans="1:6">
      <c r="A12" s="8" t="s">
        <v>59</v>
      </c>
      <c r="B12" s="22">
        <f>COUNTA('Descuadres por cliente'!$C$41:$C$41)</f>
        <v>1</v>
      </c>
      <c r="C12" s="23">
        <f>SUM('Descuadres por cliente'!$G$41:$G$41)</f>
        <v>36080.36</v>
      </c>
      <c r="D12" s="23">
        <f>SUM('Descuadres por cliente'!$H$41:$H$41)</f>
        <v>36080.36</v>
      </c>
      <c r="E12" s="23">
        <f>SUM('Descuadres por cliente'!$I$41:$I$41)</f>
        <v>35344.79</v>
      </c>
      <c r="F12" s="23">
        <f t="shared" si="0"/>
        <v>-735.56999999999971</v>
      </c>
    </row>
    <row r="13" spans="1:6">
      <c r="A13" s="8" t="s">
        <v>63</v>
      </c>
      <c r="B13" s="22">
        <f>COUNTA('Descuadres por cliente'!$C$45:$C$45)</f>
        <v>1</v>
      </c>
      <c r="C13" s="23">
        <f>SUM('Descuadres por cliente'!$G$45:$G$45)</f>
        <v>32209.39</v>
      </c>
      <c r="D13" s="23">
        <f>SUM('Descuadres por cliente'!$H$45:$H$45)</f>
        <v>32209.39</v>
      </c>
      <c r="E13" s="23">
        <f>SUM('Descuadres por cliente'!$I$45:$I$45)</f>
        <v>23909.16</v>
      </c>
      <c r="F13" s="23">
        <f t="shared" si="0"/>
        <v>-8300.23</v>
      </c>
    </row>
    <row r="14" spans="1:6">
      <c r="A14" s="8" t="s">
        <v>67</v>
      </c>
      <c r="B14" s="22">
        <f>COUNTA('Descuadres por cliente'!$C$49:$C$49)</f>
        <v>1</v>
      </c>
      <c r="C14" s="23">
        <f>SUM('Descuadres por cliente'!$G$49:$G$49)</f>
        <v>580.89</v>
      </c>
      <c r="D14" s="23">
        <f>SUM('Descuadres por cliente'!$H$49:$H$49)</f>
        <v>580.89</v>
      </c>
      <c r="E14" s="23">
        <f>SUM('Descuadres por cliente'!$I$49:$I$49)</f>
        <v>0.8</v>
      </c>
      <c r="F14" s="23">
        <f t="shared" si="0"/>
        <v>-580.09</v>
      </c>
    </row>
    <row r="15" spans="1:6">
      <c r="A15" s="8" t="s">
        <v>71</v>
      </c>
      <c r="B15" s="22">
        <f>COUNTA('Descuadres por cliente'!$C$53:$C$53)</f>
        <v>1</v>
      </c>
      <c r="C15" s="23">
        <f>SUM('Descuadres por cliente'!$G$53:$G$53)</f>
        <v>269</v>
      </c>
      <c r="D15" s="23">
        <f>SUM('Descuadres por cliente'!$H$53:$H$53)</f>
        <v>269</v>
      </c>
      <c r="E15" s="23">
        <f>SUM('Descuadres por cliente'!$I$53:$I$53)</f>
        <v>260</v>
      </c>
      <c r="F15" s="23">
        <f t="shared" si="0"/>
        <v>-9</v>
      </c>
    </row>
    <row r="16" spans="1:6">
      <c r="A16" s="8" t="s">
        <v>75</v>
      </c>
      <c r="B16" s="22">
        <f>COUNTA('Descuadres por cliente'!$C$57:$C$57)</f>
        <v>1</v>
      </c>
      <c r="C16" s="23">
        <f>SUM('Descuadres por cliente'!$G$57:$G$57)</f>
        <v>140</v>
      </c>
      <c r="D16" s="23">
        <f>SUM('Descuadres por cliente'!$H$57:$H$57)</f>
        <v>140</v>
      </c>
      <c r="E16" s="23">
        <f>SUM('Descuadres por cliente'!$I$57:$I$57)</f>
        <v>70</v>
      </c>
      <c r="F16" s="23">
        <f t="shared" si="0"/>
        <v>-70</v>
      </c>
    </row>
    <row r="17" spans="1:6">
      <c r="A17" s="8" t="s">
        <v>78</v>
      </c>
      <c r="B17" s="22">
        <f>COUNTA('Descuadres por cliente'!$C$61:$C$61)</f>
        <v>1</v>
      </c>
      <c r="C17" s="23">
        <f>SUM('Descuadres por cliente'!$G$61:$G$61)</f>
        <v>930</v>
      </c>
      <c r="D17" s="23">
        <f>SUM('Descuadres por cliente'!$H$61:$H$61)</f>
        <v>930</v>
      </c>
      <c r="E17" s="23">
        <f>SUM('Descuadres por cliente'!$I$61:$I$61)</f>
        <v>430</v>
      </c>
      <c r="F17" s="23">
        <f t="shared" si="0"/>
        <v>-500</v>
      </c>
    </row>
    <row r="18" spans="1:6">
      <c r="A18" s="8" t="s">
        <v>82</v>
      </c>
      <c r="B18" s="22">
        <f>COUNTA('Descuadres por cliente'!$C$65:$C$65)</f>
        <v>1</v>
      </c>
      <c r="C18" s="23">
        <f>SUM('Descuadres por cliente'!$G$65:$G$65)</f>
        <v>154.5</v>
      </c>
      <c r="D18" s="23">
        <f>SUM('Descuadres por cliente'!$H$65:$H$65)</f>
        <v>0</v>
      </c>
      <c r="E18" s="23">
        <f>SUM('Descuadres por cliente'!$I$65:$I$65)</f>
        <v>154.5</v>
      </c>
      <c r="F18" s="23">
        <f t="shared" si="0"/>
        <v>154.5</v>
      </c>
    </row>
    <row r="19" spans="1:6">
      <c r="A19" s="8" t="s">
        <v>87</v>
      </c>
      <c r="B19" s="22">
        <f>COUNTA('Descuadres por cliente'!$C$69:$C$69)</f>
        <v>1</v>
      </c>
      <c r="C19" s="23">
        <f>SUM('Descuadres por cliente'!$G$69:$G$69)</f>
        <v>103</v>
      </c>
      <c r="D19" s="23">
        <f>SUM('Descuadres por cliente'!$H$69:$H$69)</f>
        <v>103</v>
      </c>
      <c r="E19" s="23">
        <f>SUM('Descuadres por cliente'!$I$69:$I$69)</f>
        <v>3</v>
      </c>
      <c r="F19" s="23">
        <f t="shared" si="0"/>
        <v>-100</v>
      </c>
    </row>
    <row r="20" spans="1:6">
      <c r="A20" s="8" t="s">
        <v>91</v>
      </c>
      <c r="B20" s="22">
        <f>COUNTA('Descuadres por cliente'!$C$73:$C$73)</f>
        <v>1</v>
      </c>
      <c r="C20" s="23">
        <f>SUM('Descuadres por cliente'!$G$73:$G$73)</f>
        <v>7276</v>
      </c>
      <c r="D20" s="23">
        <f>SUM('Descuadres por cliente'!$H$73:$H$73)</f>
        <v>7276</v>
      </c>
      <c r="E20" s="23">
        <f>SUM('Descuadres por cliente'!$I$73:$I$73)</f>
        <v>3400</v>
      </c>
      <c r="F20" s="23">
        <f t="shared" si="0"/>
        <v>-3876</v>
      </c>
    </row>
    <row r="21" spans="1:6">
      <c r="A21" s="8" t="s">
        <v>95</v>
      </c>
      <c r="B21" s="22">
        <f>COUNTA('Descuadres por cliente'!$C$77:$C$77)</f>
        <v>1</v>
      </c>
      <c r="C21" s="23">
        <f>SUM('Descuadres por cliente'!$G$77:$G$77)</f>
        <v>2197.2600000000002</v>
      </c>
      <c r="D21" s="23">
        <f>SUM('Descuadres por cliente'!$H$77:$H$77)</f>
        <v>4394.5200000000004</v>
      </c>
      <c r="E21" s="23">
        <f>SUM('Descuadres por cliente'!$I$77:$I$77)</f>
        <v>2197.2600000000002</v>
      </c>
      <c r="F21" s="23">
        <f t="shared" si="0"/>
        <v>-2197.2600000000002</v>
      </c>
    </row>
    <row r="22" spans="1:6">
      <c r="A22" s="8" t="s">
        <v>100</v>
      </c>
      <c r="B22" s="22">
        <f>COUNTA('Descuadres por cliente'!$C$81:$C$82)</f>
        <v>2</v>
      </c>
      <c r="C22" s="23">
        <f>SUM('Descuadres por cliente'!$G$81:$G$82)</f>
        <v>360</v>
      </c>
      <c r="D22" s="23">
        <f>SUM('Descuadres por cliente'!$H$81:$H$82)</f>
        <v>360</v>
      </c>
      <c r="E22" s="23">
        <f>SUM('Descuadres por cliente'!$I$81:$I$82)</f>
        <v>240</v>
      </c>
      <c r="F22" s="23">
        <f t="shared" si="0"/>
        <v>-120</v>
      </c>
    </row>
    <row r="23" spans="1:6">
      <c r="A23" s="8" t="s">
        <v>105</v>
      </c>
      <c r="B23" s="22">
        <f>COUNTA('Descuadres por cliente'!$C$86:$C$86)</f>
        <v>1</v>
      </c>
      <c r="C23" s="23">
        <f>SUM('Descuadres por cliente'!$G$86:$G$86)</f>
        <v>1694.88</v>
      </c>
      <c r="D23" s="23">
        <f>SUM('Descuadres por cliente'!$H$86:$H$86)</f>
        <v>1694.88</v>
      </c>
      <c r="E23" s="23">
        <f>SUM('Descuadres por cliente'!$I$86:$I$86)</f>
        <v>871.41</v>
      </c>
      <c r="F23" s="23">
        <f t="shared" si="0"/>
        <v>-823.47000000000014</v>
      </c>
    </row>
    <row r="24" spans="1:6">
      <c r="A24" s="8" t="s">
        <v>109</v>
      </c>
      <c r="B24" s="22">
        <f>COUNTA('Descuadres por cliente'!$C$90:$C$90)</f>
        <v>1</v>
      </c>
      <c r="C24" s="23">
        <f>SUM('Descuadres por cliente'!$G$90:$G$90)</f>
        <v>767.97</v>
      </c>
      <c r="D24" s="23">
        <f>SUM('Descuadres por cliente'!$H$90:$H$90)</f>
        <v>767.97</v>
      </c>
      <c r="E24" s="23">
        <f>SUM('Descuadres por cliente'!$I$90:$I$90)</f>
        <v>469.05</v>
      </c>
      <c r="F24" s="23">
        <f t="shared" si="0"/>
        <v>-298.92</v>
      </c>
    </row>
    <row r="25" spans="1:6">
      <c r="A25" s="8" t="s">
        <v>113</v>
      </c>
      <c r="B25" s="22">
        <f>COUNTA('Descuadres por cliente'!$C$94:$C$94)</f>
        <v>1</v>
      </c>
      <c r="C25" s="23">
        <f>SUM('Descuadres por cliente'!$G$94:$G$94)</f>
        <v>836.88</v>
      </c>
      <c r="D25" s="23">
        <f>SUM('Descuadres por cliente'!$H$94:$H$94)</f>
        <v>836.88</v>
      </c>
      <c r="E25" s="23">
        <f>SUM('Descuadres por cliente'!$I$94:$I$94)</f>
        <v>486.88</v>
      </c>
      <c r="F25" s="23">
        <f t="shared" si="0"/>
        <v>-350</v>
      </c>
    </row>
    <row r="26" spans="1:6">
      <c r="A26" s="8" t="s">
        <v>117</v>
      </c>
      <c r="B26" s="22">
        <f>COUNTA('Descuadres por cliente'!$C$98:$C$99)</f>
        <v>2</v>
      </c>
      <c r="C26" s="23">
        <f>SUM('Descuadres por cliente'!$G$98:$G$99)</f>
        <v>1890</v>
      </c>
      <c r="D26" s="23">
        <f>SUM('Descuadres por cliente'!$H$98:$H$99)</f>
        <v>1890</v>
      </c>
      <c r="E26" s="23">
        <f>SUM('Descuadres por cliente'!$I$98:$I$99)</f>
        <v>1108.5999999999999</v>
      </c>
      <c r="F26" s="23">
        <f t="shared" si="0"/>
        <v>-781.40000000000009</v>
      </c>
    </row>
    <row r="27" spans="1:6">
      <c r="A27" s="8" t="s">
        <v>122</v>
      </c>
      <c r="B27" s="22">
        <f>COUNTA('Descuadres por cliente'!$C$103:$C$103)</f>
        <v>1</v>
      </c>
      <c r="C27" s="23">
        <f>SUM('Descuadres por cliente'!$G$103:$G$103)</f>
        <v>1080</v>
      </c>
      <c r="D27" s="23">
        <f>SUM('Descuadres por cliente'!$H$103:$H$103)</f>
        <v>2160</v>
      </c>
      <c r="E27" s="23">
        <f>SUM('Descuadres por cliente'!$I$103:$I$103)</f>
        <v>1080</v>
      </c>
      <c r="F27" s="23">
        <f t="shared" si="0"/>
        <v>-1080</v>
      </c>
    </row>
    <row r="28" spans="1:6">
      <c r="A28" s="8" t="s">
        <v>126</v>
      </c>
      <c r="B28" s="22">
        <f>COUNTA('Descuadres por cliente'!$C$107:$C$107)</f>
        <v>1</v>
      </c>
      <c r="C28" s="23">
        <f>SUM('Descuadres por cliente'!$G$107:$G$107)</f>
        <v>139.05000000000001</v>
      </c>
      <c r="D28" s="23">
        <f>SUM('Descuadres por cliente'!$H$107:$H$107)</f>
        <v>0</v>
      </c>
      <c r="E28" s="23">
        <f>SUM('Descuadres por cliente'!$I$107:$I$107)</f>
        <v>139.05000000000001</v>
      </c>
      <c r="F28" s="23">
        <f t="shared" si="0"/>
        <v>139.05000000000001</v>
      </c>
    </row>
    <row r="29" spans="1:6">
      <c r="A29" s="8" t="s">
        <v>129</v>
      </c>
      <c r="B29" s="22">
        <f>COUNTA('Descuadres por cliente'!$C$111:$C$111)</f>
        <v>1</v>
      </c>
      <c r="C29" s="23">
        <f>SUM('Descuadres por cliente'!$G$111:$G$111)</f>
        <v>257.5</v>
      </c>
      <c r="D29" s="23">
        <f>SUM('Descuadres por cliente'!$H$111:$H$111)</f>
        <v>257.5</v>
      </c>
      <c r="E29" s="23">
        <f>SUM('Descuadres por cliente'!$I$111:$I$111)</f>
        <v>128.75</v>
      </c>
      <c r="F29" s="23">
        <f t="shared" si="0"/>
        <v>-128.75</v>
      </c>
    </row>
    <row r="30" spans="1:6">
      <c r="A30" s="17" t="s">
        <v>138</v>
      </c>
      <c r="B30" s="24">
        <f>SUM(B5:B29)</f>
        <v>30</v>
      </c>
      <c r="C30" s="19">
        <f>SUM(C5:C29)</f>
        <v>117911.59000000001</v>
      </c>
      <c r="D30" s="19">
        <f>SUM(D5:D29)</f>
        <v>111649.1</v>
      </c>
      <c r="E30" s="19">
        <f>SUM(E5:E29)</f>
        <v>82903.620000000024</v>
      </c>
      <c r="F30" s="19">
        <f>SUM(F5:F29)</f>
        <v>-28745.48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dimension ref="A1:B20"/>
  <sheetViews>
    <sheetView showGridLines="0" workbookViewId="0"/>
  </sheetViews>
  <sheetFormatPr baseColWidth="10" defaultColWidth="9.140625" defaultRowHeight="15"/>
  <cols>
    <col min="1" max="1" width="30" customWidth="1"/>
    <col min="2" max="2" width="105" customWidth="1"/>
  </cols>
  <sheetData>
    <row r="1" spans="1:2" ht="18">
      <c r="A1" s="20" t="s">
        <v>139</v>
      </c>
    </row>
    <row r="3" spans="1:2">
      <c r="A3" s="25" t="s">
        <v>140</v>
      </c>
    </row>
    <row r="4" spans="1:2" ht="42" customHeight="1">
      <c r="B4" s="26" t="s">
        <v>141</v>
      </c>
    </row>
    <row r="6" spans="1:2">
      <c r="A6" s="25" t="s">
        <v>142</v>
      </c>
    </row>
    <row r="7" spans="1:2" ht="27.95" customHeight="1">
      <c r="B7" s="26" t="s">
        <v>143</v>
      </c>
    </row>
    <row r="9" spans="1:2">
      <c r="A9" s="25" t="s">
        <v>144</v>
      </c>
    </row>
    <row r="10" spans="1:2" ht="15" customHeight="1">
      <c r="A10" s="25" t="s">
        <v>145</v>
      </c>
      <c r="B10" s="26" t="s">
        <v>146</v>
      </c>
    </row>
    <row r="11" spans="1:2" ht="15" customHeight="1">
      <c r="A11" s="25" t="s">
        <v>147</v>
      </c>
      <c r="B11" s="26" t="s">
        <v>148</v>
      </c>
    </row>
    <row r="12" spans="1:2" ht="15" customHeight="1">
      <c r="A12" s="25" t="s">
        <v>149</v>
      </c>
      <c r="B12" s="26" t="s">
        <v>150</v>
      </c>
    </row>
    <row r="13" spans="1:2" ht="15" customHeight="1">
      <c r="A13" s="25" t="s">
        <v>151</v>
      </c>
      <c r="B13" s="26" t="s">
        <v>152</v>
      </c>
    </row>
    <row r="14" spans="1:2" ht="15" customHeight="1">
      <c r="A14" s="25" t="s">
        <v>153</v>
      </c>
      <c r="B14" s="26" t="s">
        <v>154</v>
      </c>
    </row>
    <row r="16" spans="1:2">
      <c r="A16" s="25" t="s">
        <v>155</v>
      </c>
    </row>
    <row r="17" spans="1:2" ht="56.1" customHeight="1">
      <c r="B17" s="26" t="s">
        <v>156</v>
      </c>
    </row>
    <row r="19" spans="1:2">
      <c r="A19" s="25" t="s">
        <v>157</v>
      </c>
    </row>
    <row r="20" spans="1:2" ht="42" customHeight="1">
      <c r="B20" s="26"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Descuadres por cliente</vt:lpstr>
      <vt:lpstr>Resumen por cliente</vt:lpstr>
      <vt:lpstr>Como leerlo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2026-09-22T11:43:21Z</dcterms:created>
  <dcterms:modified xsi:type="dcterms:W3CDTF">2026-09-22T12:18:52Z</dcterms:modified>
</cp:coreProperties>
</file>
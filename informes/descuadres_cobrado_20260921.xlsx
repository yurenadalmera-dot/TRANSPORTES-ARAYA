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scuadres por cliente" sheetId="1" state="visible" r:id="rId1"/>
    <sheet name="Resumen por cliente" sheetId="2" state="visible" r:id="rId2"/>
    <sheet name="Como leerlo" sheetId="3" state="visible" r:id="rId3"/>
  </sheets>
  <definedNames>
    <definedName name="_xlnm._FilterDatabase" localSheetId="0" hidden="1">'Descuadres por cliente'!$A$8:$Q$124</definedName>
  </definedNames>
  <calcPr calcId="124519" fullCalcOnLoad="1"/>
</workbook>
</file>

<file path=xl/styles.xml><?xml version="1.0" encoding="utf-8"?>
<styleSheet xmlns="http://schemas.openxmlformats.org/spreadsheetml/2006/main">
  <numFmts count="3">
    <numFmt numFmtId="164" formatCode="yyyy-mm-dd"/>
    <numFmt numFmtId="165" formatCode="#,##0.00 &quot;€&quot;;[Red](#,##0.00 &quot;€&quot;);-"/>
    <numFmt numFmtId="166" formatCode="DD/MM/YYYY"/>
  </numFmts>
  <fonts count="13">
    <font>
      <name val="Calibri"/>
      <family val="2"/>
      <color theme="1"/>
      <sz val="11"/>
      <scheme val="minor"/>
    </font>
    <font>
      <name val="Arial"/>
      <b val="1"/>
      <color rgb="FF1F3864"/>
      <sz val="15"/>
    </font>
    <font>
      <name val="Arial"/>
      <color rgb="FF595959"/>
      <sz val="11"/>
    </font>
    <font>
      <name val="Arial"/>
      <color rgb="FF808080"/>
      <sz val="10"/>
    </font>
    <font>
      <name val="Arial"/>
      <i val="1"/>
      <color rgb="FF595959"/>
      <sz val="10"/>
    </font>
    <font>
      <name val="Arial"/>
      <i val="1"/>
      <color rgb="FF806000"/>
      <sz val="10"/>
    </font>
    <font>
      <name val="Arial"/>
      <b val="1"/>
      <color rgb="FFFFFFFF"/>
      <sz val="10"/>
    </font>
    <font>
      <name val="Arial"/>
      <b val="1"/>
      <color rgb="FF1F3864"/>
      <sz val="11"/>
    </font>
    <font>
      <name val="Arial"/>
      <b val="1"/>
      <color rgb="FF1F3864"/>
      <sz val="10"/>
    </font>
    <font>
      <name val="Arial"/>
      <sz val="10"/>
    </font>
    <font>
      <name val="Arial"/>
      <b val="1"/>
      <sz val="10"/>
    </font>
    <font>
      <name val="Arial"/>
      <b val="1"/>
      <color rgb="FFFFFFFF"/>
      <sz val="11"/>
    </font>
    <font>
      <name val="Arial"/>
      <b val="1"/>
      <color rgb="FF1F3864"/>
      <sz val="14"/>
    </font>
  </fonts>
  <fills count="6">
    <fill>
      <patternFill/>
    </fill>
    <fill>
      <patternFill patternType="gray125"/>
    </fill>
    <fill>
      <patternFill patternType="solid">
        <fgColor rgb="FF1F3864"/>
      </patternFill>
    </fill>
    <fill>
      <patternFill patternType="solid">
        <fgColor rgb="FFDDEBF7"/>
      </patternFill>
    </fill>
    <fill>
      <patternFill patternType="solid">
        <fgColor rgb="FFFFFF99"/>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7" fillId="3" borderId="1" pivotButton="0" quotePrefix="0" xfId="0"/>
    <xf numFmtId="0" fontId="8" fillId="3" borderId="1" pivotButton="0" quotePrefix="0" xfId="0"/>
    <xf numFmtId="0" fontId="0" fillId="3" borderId="1" pivotButton="0" quotePrefix="0" xfId="0"/>
    <xf numFmtId="0" fontId="9" fillId="0" borderId="1" pivotButton="0" quotePrefix="0" xfId="0"/>
    <xf numFmtId="166" fontId="9" fillId="0" borderId="1" pivotButton="0" quotePrefix="0" xfId="0"/>
    <xf numFmtId="165" fontId="9" fillId="0" borderId="1" pivotButton="0" quotePrefix="0" xfId="0"/>
    <xf numFmtId="0" fontId="9" fillId="0" borderId="1" applyAlignment="1" pivotButton="0" quotePrefix="0" xfId="0">
      <alignment horizontal="center"/>
    </xf>
    <xf numFmtId="0" fontId="9" fillId="0" borderId="1" applyAlignment="1" pivotButton="0" quotePrefix="0" xfId="0">
      <alignment vertical="top" wrapText="1"/>
    </xf>
    <xf numFmtId="0" fontId="9" fillId="4" borderId="1" pivotButton="0" quotePrefix="0" xfId="0"/>
    <xf numFmtId="0" fontId="10" fillId="5" borderId="1" pivotButton="0" quotePrefix="0" xfId="0"/>
    <xf numFmtId="0" fontId="10" fillId="5" borderId="1" applyAlignment="1" pivotButton="0" quotePrefix="0" xfId="0">
      <alignment horizontal="right"/>
    </xf>
    <xf numFmtId="165" fontId="10" fillId="5" borderId="1" pivotButton="0" quotePrefix="0" xfId="0"/>
    <xf numFmtId="0" fontId="11" fillId="2" borderId="1" pivotButton="0" quotePrefix="0" xfId="0"/>
    <xf numFmtId="0" fontId="11" fillId="2" borderId="1" applyAlignment="1" pivotButton="0" quotePrefix="0" xfId="0">
      <alignment horizontal="right"/>
    </xf>
    <xf numFmtId="165" fontId="11" fillId="2" borderId="1" pivotButton="0" quotePrefix="0" xfId="0"/>
    <xf numFmtId="0" fontId="12" fillId="0" borderId="0" pivotButton="0" quotePrefix="0" xfId="0"/>
    <xf numFmtId="0" fontId="4" fillId="0" borderId="0" pivotButton="0" quotePrefix="0" xfId="0"/>
    <xf numFmtId="0" fontId="0" fillId="0" borderId="1" applyAlignment="1" pivotButton="0" quotePrefix="0" xfId="0">
      <alignment horizontal="center"/>
    </xf>
    <xf numFmtId="165" fontId="0" fillId="0" borderId="1" pivotButton="0" quotePrefix="0" xfId="0"/>
    <xf numFmtId="0" fontId="11" fillId="2" borderId="1" applyAlignment="1" pivotButton="0" quotePrefix="0" xfId="0">
      <alignment horizontal="center"/>
    </xf>
    <xf numFmtId="0" fontId="7" fillId="0" borderId="0" pivotButton="0" quotePrefix="0" xfId="0"/>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Panel Araya</author>
  </authors>
  <commentList>
    <comment ref="H8" authorId="0" shapeId="0">
      <text>
        <t>Es la casilla importe_cobrado de la ficha de la factura.</t>
      </text>
    </comment>
    <comment ref="I8" authorId="0" shapeId="0">
      <text>
        <t>Es la suma de los cobros anotados uno a uno en la factura.</t>
      </text>
    </comment>
    <comment ref="N8" authorId="0" shapeId="0">
      <text>
        <t>Lo que el panel da hoy por pendiente. Se calcula con la mayor de las dos cifras, por eso el descuadre no infla la deuda.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126"/>
  <sheetViews>
    <sheetView showGridLines="0" workbookViewId="0">
      <pane xSplit="2" ySplit="8" topLeftCell="C9" activePane="bottomRight" state="frozen"/>
      <selection pane="topRight"/>
      <selection pane="bottomLeft"/>
      <selection pane="bottomRight" activeCell="A1" sqref="A1"/>
    </sheetView>
  </sheetViews>
  <sheetFormatPr baseColWidth="8" defaultRowHeight="15"/>
  <cols>
    <col width="42" customWidth="1" min="1" max="1"/>
    <col width="13" customWidth="1" min="2" max="2"/>
    <col width="11" customWidth="1" min="3" max="3"/>
    <col width="11" customWidth="1" min="4" max="4"/>
    <col width="11" customWidth="1" min="5" max="5"/>
    <col width="16" customWidth="1" min="6" max="6"/>
    <col width="14" customWidth="1" min="7" max="7"/>
    <col width="16" customWidth="1" min="8" max="8"/>
    <col width="15" customWidth="1" min="9" max="9"/>
    <col width="13" customWidth="1" min="10" max="10"/>
    <col width="8" customWidth="1" min="11" max="11"/>
    <col width="12" customWidth="1" min="12" max="12"/>
    <col width="12" customWidth="1" min="13" max="13"/>
    <col width="16" customWidth="1" min="14" max="14"/>
    <col width="44" customWidth="1" min="15" max="15"/>
    <col width="26" customWidth="1" min="16" max="16"/>
    <col width="30" customWidth="1" min="17" max="17"/>
  </cols>
  <sheetData>
    <row r="1">
      <c r="A1" s="1" t="inlineStr">
        <is>
          <t>Transportes Araya Franquiz</t>
        </is>
      </c>
    </row>
    <row r="2">
      <c r="A2" s="2" t="inlineStr">
        <is>
          <t>Facturas donde el importe cobrado de la ficha no cuadra con la suma de sus cobros</t>
        </is>
      </c>
    </row>
    <row r="3">
      <c r="A3" s="3" t="inlineStr">
        <is>
          <t>Listado a 21/09/2026  ·  36 facturas de 27 clientes</t>
        </is>
      </c>
    </row>
    <row r="5" ht="40" customHeight="1">
      <c r="A5" s="4" t="inlineStr">
        <is>
          <t>Para que sirve: en cada una de estas facturas hay dos cifras de lo cobrado que no coinciden. Una es la casilla "importe cobrado" de la ficha de la factura; la otra es lo que suman los cobros anotados uno a uno. Hay que decidir cual de las dos es la buena. Escribe tu decision en las dos ultimas columnas, las amarillas.</t>
        </is>
      </c>
    </row>
    <row r="6">
      <c r="A6" s="5" t="inlineStr">
        <is>
          <t>Ojo: esto NO infla la deuda del panel. El informe de pendientes se queda con la mayor de las dos cifras, asi que nadie aparece debiendo de mas por esto. Lo que si hace es enganar a lo que lea la casilla a pelo.</t>
        </is>
      </c>
    </row>
    <row r="8" ht="34" customHeight="1">
      <c r="A8" s="6" t="inlineStr">
        <is>
          <t>Cliente</t>
        </is>
      </c>
      <c r="B8" s="6" t="inlineStr">
        <is>
          <t>CIF</t>
        </is>
      </c>
      <c r="C8" s="6" t="inlineStr">
        <is>
          <t>Factura</t>
        </is>
      </c>
      <c r="D8" s="6" t="inlineStr">
        <is>
          <t>Fecha</t>
        </is>
      </c>
      <c r="E8" s="6" t="inlineStr">
        <is>
          <t>Estado</t>
        </is>
      </c>
      <c r="F8" s="6" t="inlineStr">
        <is>
          <t>Estado en Factusol</t>
        </is>
      </c>
      <c r="G8" s="6" t="inlineStr">
        <is>
          <t>Total</t>
        </is>
      </c>
      <c r="H8" s="6" t="inlineStr">
        <is>
          <t>Importe cobrado (ficha)</t>
        </is>
      </c>
      <c r="I8" s="6" t="inlineStr">
        <is>
          <t>Cobros anotados</t>
        </is>
      </c>
      <c r="J8" s="6" t="inlineStr">
        <is>
          <t>Diferencia</t>
        </is>
      </c>
      <c r="K8" s="6" t="inlineStr">
        <is>
          <t>Nº cobros</t>
        </is>
      </c>
      <c r="L8" s="6" t="inlineStr">
        <is>
          <t>Primer cobro</t>
        </is>
      </c>
      <c r="M8" s="6" t="inlineStr">
        <is>
          <t>Ultimo cobro</t>
        </is>
      </c>
      <c r="N8" s="6" t="inlineStr">
        <is>
          <t>Pendiente en el panel</t>
        </is>
      </c>
      <c r="O8" s="6" t="inlineStr">
        <is>
          <t>Que le pasa</t>
        </is>
      </c>
      <c r="P8" s="6" t="inlineStr">
        <is>
          <t>Cual es el bueno</t>
        </is>
      </c>
      <c r="Q8" s="6" t="inlineStr">
        <is>
          <t>Notas</t>
        </is>
      </c>
    </row>
    <row r="9">
      <c r="A9" s="7" t="inlineStr">
        <is>
          <t>ALEGRANZA.S-L</t>
        </is>
      </c>
      <c r="B9" s="8" t="inlineStr">
        <is>
          <t>B-35511484</t>
        </is>
      </c>
      <c r="C9" s="9" t="n"/>
      <c r="D9" s="9" t="n"/>
      <c r="E9" s="9" t="n"/>
      <c r="F9" s="9" t="n"/>
      <c r="G9" s="9" t="n"/>
      <c r="H9" s="9" t="n"/>
      <c r="I9" s="9" t="n"/>
      <c r="J9" s="9" t="n"/>
      <c r="K9" s="9" t="n"/>
      <c r="L9" s="9" t="n"/>
      <c r="M9" s="9" t="n"/>
      <c r="N9" s="9" t="n"/>
      <c r="O9" s="9" t="n"/>
      <c r="P9" s="9" t="n"/>
      <c r="Q9" s="9" t="n"/>
    </row>
    <row r="10">
      <c r="A10" s="10" t="inlineStr"/>
      <c r="B10" s="10" t="inlineStr"/>
      <c r="C10" s="10" t="inlineStr">
        <is>
          <t>190734</t>
        </is>
      </c>
      <c r="D10" s="11" t="n">
        <v>43769</v>
      </c>
      <c r="E10" s="10" t="inlineStr">
        <is>
          <t>Cobrada</t>
        </is>
      </c>
      <c r="F10" s="10" t="inlineStr">
        <is>
          <t>2 Cobrada</t>
        </is>
      </c>
      <c r="G10" s="12" t="n">
        <v>8942.83</v>
      </c>
      <c r="H10" s="12" t="n">
        <v>8942.83</v>
      </c>
      <c r="I10" s="12" t="n">
        <v>1942.83</v>
      </c>
      <c r="J10" s="12">
        <f>I10-H10</f>
        <v/>
      </c>
      <c r="K10" s="13" t="n">
        <v>2</v>
      </c>
      <c r="L10" s="11" t="n">
        <v>43867</v>
      </c>
      <c r="M10" s="11" t="n">
        <v>44505</v>
      </c>
      <c r="N10" s="12">
        <f>G10-MAX(H10,I10)</f>
        <v/>
      </c>
      <c r="O10" s="14" t="inlineStr">
        <is>
          <t>Faltan cobros por anotar, o la columna se quedo por encima</t>
        </is>
      </c>
      <c r="P10" s="15" t="inlineStr"/>
      <c r="Q10" s="15" t="inlineStr"/>
    </row>
    <row r="11">
      <c r="A11" s="16" t="inlineStr"/>
      <c r="B11" s="16" t="n"/>
      <c r="C11" s="16" t="n"/>
      <c r="D11" s="16" t="n"/>
      <c r="E11" s="16" t="n"/>
      <c r="F11" s="17" t="inlineStr">
        <is>
          <t>Suma de ALEGRANZA.S-L</t>
        </is>
      </c>
      <c r="G11" s="18">
        <f>SUM(G10:G10)</f>
        <v/>
      </c>
      <c r="H11" s="18">
        <f>SUM(H10:H10)</f>
        <v/>
      </c>
      <c r="I11" s="18">
        <f>SUM(I10:I10)</f>
        <v/>
      </c>
      <c r="J11" s="18">
        <f>SUM(J10:J10)</f>
        <v/>
      </c>
      <c r="K11" s="16" t="n"/>
      <c r="L11" s="16" t="n"/>
      <c r="M11" s="16" t="n"/>
      <c r="N11" s="16" t="n"/>
      <c r="O11" s="16" t="n"/>
      <c r="P11" s="16" t="n"/>
      <c r="Q11" s="16" t="n"/>
    </row>
    <row r="13">
      <c r="A13" s="7" t="inlineStr">
        <is>
          <t>Andreas Wenger,</t>
        </is>
      </c>
      <c r="B13" s="8" t="inlineStr">
        <is>
          <t>Y7798675X.</t>
        </is>
      </c>
      <c r="C13" s="9" t="n"/>
      <c r="D13" s="9" t="n"/>
      <c r="E13" s="9" t="n"/>
      <c r="F13" s="9" t="n"/>
      <c r="G13" s="9" t="n"/>
      <c r="H13" s="9" t="n"/>
      <c r="I13" s="9" t="n"/>
      <c r="J13" s="9" t="n"/>
      <c r="K13" s="9" t="n"/>
      <c r="L13" s="9" t="n"/>
      <c r="M13" s="9" t="n"/>
      <c r="N13" s="9" t="n"/>
      <c r="O13" s="9" t="n"/>
      <c r="P13" s="9" t="n"/>
      <c r="Q13" s="9" t="n"/>
    </row>
    <row r="14">
      <c r="A14" s="10" t="inlineStr"/>
      <c r="B14" s="10" t="inlineStr"/>
      <c r="C14" s="10" t="inlineStr">
        <is>
          <t>230469</t>
        </is>
      </c>
      <c r="D14" s="11" t="n">
        <v>45138</v>
      </c>
      <c r="E14" s="10" t="inlineStr">
        <is>
          <t>Cobrada</t>
        </is>
      </c>
      <c r="F14" s="10" t="inlineStr">
        <is>
          <t>2 Cobrada</t>
        </is>
      </c>
      <c r="G14" s="12" t="n">
        <v>206.43</v>
      </c>
      <c r="H14" s="12" t="n">
        <v>206.43</v>
      </c>
      <c r="I14" s="12" t="n">
        <v>175.1</v>
      </c>
      <c r="J14" s="12">
        <f>I14-H14</f>
        <v/>
      </c>
      <c r="K14" s="13" t="n">
        <v>1</v>
      </c>
      <c r="L14" s="11" t="n">
        <v>44957</v>
      </c>
      <c r="M14" s="11" t="n">
        <v>44957</v>
      </c>
      <c r="N14" s="12">
        <f>G14-MAX(H14,I14)</f>
        <v/>
      </c>
      <c r="O14" s="14" t="inlineStr">
        <is>
          <t>Faltan cobros por anotar, o la columna se quedo por encima</t>
        </is>
      </c>
      <c r="P14" s="15" t="inlineStr"/>
      <c r="Q14" s="15" t="inlineStr"/>
    </row>
    <row r="15">
      <c r="A15" s="16" t="inlineStr"/>
      <c r="B15" s="16" t="n"/>
      <c r="C15" s="16" t="n"/>
      <c r="D15" s="16" t="n"/>
      <c r="E15" s="16" t="n"/>
      <c r="F15" s="17" t="inlineStr">
        <is>
          <t>Suma de Andreas Wenger,</t>
        </is>
      </c>
      <c r="G15" s="18">
        <f>SUM(G14:G14)</f>
        <v/>
      </c>
      <c r="H15" s="18">
        <f>SUM(H14:H14)</f>
        <v/>
      </c>
      <c r="I15" s="18">
        <f>SUM(I14:I14)</f>
        <v/>
      </c>
      <c r="J15" s="18">
        <f>SUM(J14:J14)</f>
        <v/>
      </c>
      <c r="K15" s="16" t="n"/>
      <c r="L15" s="16" t="n"/>
      <c r="M15" s="16" t="n"/>
      <c r="N15" s="16" t="n"/>
      <c r="O15" s="16" t="n"/>
      <c r="P15" s="16" t="n"/>
      <c r="Q15" s="16" t="n"/>
    </row>
    <row r="17">
      <c r="A17" s="7" t="inlineStr">
        <is>
          <t>ANTIGUACONTROL SOCIEDAD LIMITADA (ALISIOS)  CONTROL MAX</t>
        </is>
      </c>
      <c r="B17" s="8" t="inlineStr">
        <is>
          <t>b76318351</t>
        </is>
      </c>
      <c r="C17" s="9" t="n"/>
      <c r="D17" s="9" t="n"/>
      <c r="E17" s="9" t="n"/>
      <c r="F17" s="9" t="n"/>
      <c r="G17" s="9" t="n"/>
      <c r="H17" s="9" t="n"/>
      <c r="I17" s="9" t="n"/>
      <c r="J17" s="9" t="n"/>
      <c r="K17" s="9" t="n"/>
      <c r="L17" s="9" t="n"/>
      <c r="M17" s="9" t="n"/>
      <c r="N17" s="9" t="n"/>
      <c r="O17" s="9" t="n"/>
      <c r="P17" s="9" t="n"/>
      <c r="Q17" s="9" t="n"/>
    </row>
    <row r="18">
      <c r="A18" s="10" t="inlineStr"/>
      <c r="B18" s="10" t="inlineStr"/>
      <c r="C18" s="10" t="inlineStr">
        <is>
          <t>210810</t>
        </is>
      </c>
      <c r="D18" s="11" t="n">
        <v>44540</v>
      </c>
      <c r="E18" s="10" t="inlineStr">
        <is>
          <t>Cobrada</t>
        </is>
      </c>
      <c r="F18" s="10" t="inlineStr">
        <is>
          <t>2 Cobrada</t>
        </is>
      </c>
      <c r="G18" s="12" t="n">
        <v>5974</v>
      </c>
      <c r="H18" s="12" t="n">
        <v>5974</v>
      </c>
      <c r="I18" s="12" t="n">
        <v>2987</v>
      </c>
      <c r="J18" s="12">
        <f>I18-H18</f>
        <v/>
      </c>
      <c r="K18" s="13" t="n">
        <v>1</v>
      </c>
      <c r="L18" s="11" t="n">
        <v>44540</v>
      </c>
      <c r="M18" s="11" t="n">
        <v>44540</v>
      </c>
      <c r="N18" s="12">
        <f>G18-MAX(H18,I18)</f>
        <v/>
      </c>
      <c r="O18" s="14" t="inlineStr">
        <is>
          <t>La columna dice justo el doble de lo que suman los cobros</t>
        </is>
      </c>
      <c r="P18" s="15" t="inlineStr"/>
      <c r="Q18" s="15" t="inlineStr"/>
    </row>
    <row r="19">
      <c r="A19" s="16" t="inlineStr"/>
      <c r="B19" s="16" t="n"/>
      <c r="C19" s="16" t="n"/>
      <c r="D19" s="16" t="n"/>
      <c r="E19" s="16" t="n"/>
      <c r="F19" s="17" t="inlineStr">
        <is>
          <t>Suma de ANTIGUACONTROL SOCIEDAD LIMITADA (ALISIOS)  CONTROL MAX</t>
        </is>
      </c>
      <c r="G19" s="18">
        <f>SUM(G18:G18)</f>
        <v/>
      </c>
      <c r="H19" s="18">
        <f>SUM(H18:H18)</f>
        <v/>
      </c>
      <c r="I19" s="18">
        <f>SUM(I18:I18)</f>
        <v/>
      </c>
      <c r="J19" s="18">
        <f>SUM(J18:J18)</f>
        <v/>
      </c>
      <c r="K19" s="16" t="n"/>
      <c r="L19" s="16" t="n"/>
      <c r="M19" s="16" t="n"/>
      <c r="N19" s="16" t="n"/>
      <c r="O19" s="16" t="n"/>
      <c r="P19" s="16" t="n"/>
      <c r="Q19" s="16" t="n"/>
    </row>
    <row r="21">
      <c r="A21" s="7" t="inlineStr">
        <is>
          <t>BLUE DOLPHIN HOTEL OPERATING AND ADMINISTRATION FUERTEVENTURA, S.L.</t>
        </is>
      </c>
      <c r="B21" s="8" t="inlineStr">
        <is>
          <t>B86677333</t>
        </is>
      </c>
      <c r="C21" s="9" t="n"/>
      <c r="D21" s="9" t="n"/>
      <c r="E21" s="9" t="n"/>
      <c r="F21" s="9" t="n"/>
      <c r="G21" s="9" t="n"/>
      <c r="H21" s="9" t="n"/>
      <c r="I21" s="9" t="n"/>
      <c r="J21" s="9" t="n"/>
      <c r="K21" s="9" t="n"/>
      <c r="L21" s="9" t="n"/>
      <c r="M21" s="9" t="n"/>
      <c r="N21" s="9" t="n"/>
      <c r="O21" s="9" t="n"/>
      <c r="P21" s="9" t="n"/>
      <c r="Q21" s="9" t="n"/>
    </row>
    <row r="22">
      <c r="A22" s="10" t="inlineStr"/>
      <c r="B22" s="10" t="inlineStr"/>
      <c r="C22" s="10" t="inlineStr">
        <is>
          <t>200197</t>
        </is>
      </c>
      <c r="D22" s="11" t="n">
        <v>43921</v>
      </c>
      <c r="E22" s="10" t="inlineStr">
        <is>
          <t>Cobrada</t>
        </is>
      </c>
      <c r="F22" s="10" t="inlineStr">
        <is>
          <t>2 Cobrada</t>
        </is>
      </c>
      <c r="G22" s="12" t="n">
        <v>1349.22</v>
      </c>
      <c r="H22" s="12" t="n">
        <v>1349.22</v>
      </c>
      <c r="I22" s="12" t="n">
        <v>1278.56</v>
      </c>
      <c r="J22" s="12">
        <f>I22-H22</f>
        <v/>
      </c>
      <c r="K22" s="13" t="n">
        <v>1</v>
      </c>
      <c r="L22" s="11" t="n">
        <v>44015</v>
      </c>
      <c r="M22" s="11" t="n">
        <v>44015</v>
      </c>
      <c r="N22" s="12">
        <f>G22-MAX(H22,I22)</f>
        <v/>
      </c>
      <c r="O22" s="14" t="inlineStr">
        <is>
          <t>Faltan cobros por anotar, o la columna se quedo por encima</t>
        </is>
      </c>
      <c r="P22" s="15" t="inlineStr"/>
      <c r="Q22" s="15" t="inlineStr"/>
    </row>
    <row r="23">
      <c r="A23" s="10" t="inlineStr"/>
      <c r="B23" s="10" t="inlineStr"/>
      <c r="C23" s="10" t="inlineStr">
        <is>
          <t>230729</t>
        </is>
      </c>
      <c r="D23" s="11" t="n">
        <v>45230</v>
      </c>
      <c r="E23" s="10" t="inlineStr">
        <is>
          <t>Cobrada</t>
        </is>
      </c>
      <c r="F23" s="10" t="inlineStr">
        <is>
          <t>2 Cobrada</t>
        </is>
      </c>
      <c r="G23" s="12" t="n">
        <v>1944.4</v>
      </c>
      <c r="H23" s="12" t="n">
        <v>1944.4</v>
      </c>
      <c r="I23" s="12" t="n">
        <v>1941.83</v>
      </c>
      <c r="J23" s="12">
        <f>I23-H23</f>
        <v/>
      </c>
      <c r="K23" s="13" t="n">
        <v>1</v>
      </c>
      <c r="L23" s="11" t="n">
        <v>45251</v>
      </c>
      <c r="M23" s="11" t="n">
        <v>45251</v>
      </c>
      <c r="N23" s="12">
        <f>G23-MAX(H23,I23)</f>
        <v/>
      </c>
      <c r="O23" s="14" t="inlineStr">
        <is>
          <t>Faltan cobros por anotar, o la columna se quedo por encima</t>
        </is>
      </c>
      <c r="P23" s="15" t="inlineStr"/>
      <c r="Q23" s="15" t="inlineStr"/>
    </row>
    <row r="24">
      <c r="A24" s="16" t="inlineStr"/>
      <c r="B24" s="16" t="n"/>
      <c r="C24" s="16" t="n"/>
      <c r="D24" s="16" t="n"/>
      <c r="E24" s="16" t="n"/>
      <c r="F24" s="17" t="inlineStr">
        <is>
          <t>Suma de BLUE DOLPHIN HOTEL OPERATING AND ADMINISTRATION FUERTEVENTURA, S.L.</t>
        </is>
      </c>
      <c r="G24" s="18">
        <f>SUM(G22:G23)</f>
        <v/>
      </c>
      <c r="H24" s="18">
        <f>SUM(H22:H23)</f>
        <v/>
      </c>
      <c r="I24" s="18">
        <f>SUM(I22:I23)</f>
        <v/>
      </c>
      <c r="J24" s="18">
        <f>SUM(J22:J23)</f>
        <v/>
      </c>
      <c r="K24" s="16" t="n"/>
      <c r="L24" s="16" t="n"/>
      <c r="M24" s="16" t="n"/>
      <c r="N24" s="16" t="n"/>
      <c r="O24" s="16" t="n"/>
      <c r="P24" s="16" t="n"/>
      <c r="Q24" s="16" t="n"/>
    </row>
    <row r="26">
      <c r="A26" s="7" t="inlineStr">
        <is>
          <t>CANARAGUA CONCESIONES, S.A.U</t>
        </is>
      </c>
      <c r="B26" s="8" t="inlineStr">
        <is>
          <t>A76624345</t>
        </is>
      </c>
      <c r="C26" s="9" t="n"/>
      <c r="D26" s="9" t="n"/>
      <c r="E26" s="9" t="n"/>
      <c r="F26" s="9" t="n"/>
      <c r="G26" s="9" t="n"/>
      <c r="H26" s="9" t="n"/>
      <c r="I26" s="9" t="n"/>
      <c r="J26" s="9" t="n"/>
      <c r="K26" s="9" t="n"/>
      <c r="L26" s="9" t="n"/>
      <c r="M26" s="9" t="n"/>
      <c r="N26" s="9" t="n"/>
      <c r="O26" s="9" t="n"/>
      <c r="P26" s="9" t="n"/>
      <c r="Q26" s="9" t="n"/>
    </row>
    <row r="27">
      <c r="A27" s="10" t="inlineStr"/>
      <c r="B27" s="10" t="inlineStr"/>
      <c r="C27" s="10" t="inlineStr">
        <is>
          <t>190222</t>
        </is>
      </c>
      <c r="D27" s="11" t="n">
        <v>43555</v>
      </c>
      <c r="E27" s="10" t="inlineStr">
        <is>
          <t>Cobrada</t>
        </is>
      </c>
      <c r="F27" s="10" t="inlineStr">
        <is>
          <t>2 Cobrada</t>
        </is>
      </c>
      <c r="G27" s="12" t="n">
        <v>2548.87</v>
      </c>
      <c r="H27" s="12" t="n">
        <v>2548.87</v>
      </c>
      <c r="I27" s="12" t="n">
        <v>1449.54</v>
      </c>
      <c r="J27" s="12">
        <f>I27-H27</f>
        <v/>
      </c>
      <c r="K27" s="13" t="n">
        <v>1</v>
      </c>
      <c r="L27" s="11" t="n">
        <v>43658</v>
      </c>
      <c r="M27" s="11" t="n">
        <v>43658</v>
      </c>
      <c r="N27" s="12">
        <f>G27-MAX(H27,I27)</f>
        <v/>
      </c>
      <c r="O27" s="14" t="inlineStr">
        <is>
          <t>Faltan cobros por anotar, o la columna se quedo por encima</t>
        </is>
      </c>
      <c r="P27" s="15" t="inlineStr"/>
      <c r="Q27" s="15" t="inlineStr"/>
    </row>
    <row r="28">
      <c r="A28" s="10" t="inlineStr"/>
      <c r="B28" s="10" t="inlineStr"/>
      <c r="C28" s="10" t="inlineStr">
        <is>
          <t>200029</t>
        </is>
      </c>
      <c r="D28" s="11" t="n">
        <v>43861</v>
      </c>
      <c r="E28" s="10" t="inlineStr">
        <is>
          <t>Cobrada</t>
        </is>
      </c>
      <c r="F28" s="10" t="inlineStr">
        <is>
          <t>2 Cobrada</t>
        </is>
      </c>
      <c r="G28" s="12" t="n">
        <v>321.56</v>
      </c>
      <c r="H28" s="12" t="n">
        <v>321.56</v>
      </c>
      <c r="I28" s="12" t="n">
        <v>321.02</v>
      </c>
      <c r="J28" s="12">
        <f>I28-H28</f>
        <v/>
      </c>
      <c r="K28" s="13" t="n">
        <v>1</v>
      </c>
      <c r="L28" s="11" t="n">
        <v>43895</v>
      </c>
      <c r="M28" s="11" t="n">
        <v>43895</v>
      </c>
      <c r="N28" s="12">
        <f>G28-MAX(H28,I28)</f>
        <v/>
      </c>
      <c r="O28" s="14" t="inlineStr">
        <is>
          <t>Faltan cobros por anotar, o la columna se quedo por encima</t>
        </is>
      </c>
      <c r="P28" s="15" t="inlineStr"/>
      <c r="Q28" s="15" t="inlineStr"/>
    </row>
    <row r="29">
      <c r="A29" s="10" t="inlineStr"/>
      <c r="B29" s="10" t="inlineStr"/>
      <c r="C29" s="10" t="inlineStr">
        <is>
          <t>200069</t>
        </is>
      </c>
      <c r="D29" s="11" t="n">
        <v>43871</v>
      </c>
      <c r="E29" s="10" t="inlineStr">
        <is>
          <t>Cobrada</t>
        </is>
      </c>
      <c r="F29" s="10" t="inlineStr">
        <is>
          <t>2 Cobrada</t>
        </is>
      </c>
      <c r="G29" s="12" t="n">
        <v>147.4</v>
      </c>
      <c r="H29" s="12" t="n">
        <v>147.4</v>
      </c>
      <c r="I29" s="12" t="n">
        <v>147</v>
      </c>
      <c r="J29" s="12">
        <f>I29-H29</f>
        <v/>
      </c>
      <c r="K29" s="13" t="n">
        <v>1</v>
      </c>
      <c r="L29" s="11" t="n">
        <v>43895</v>
      </c>
      <c r="M29" s="11" t="n">
        <v>43895</v>
      </c>
      <c r="N29" s="12">
        <f>G29-MAX(H29,I29)</f>
        <v/>
      </c>
      <c r="O29" s="14" t="inlineStr">
        <is>
          <t>Faltan cobros por anotar, o la columna se quedo por encima</t>
        </is>
      </c>
      <c r="P29" s="15" t="inlineStr"/>
      <c r="Q29" s="15" t="inlineStr"/>
    </row>
    <row r="30">
      <c r="A30" s="16" t="inlineStr"/>
      <c r="B30" s="16" t="n"/>
      <c r="C30" s="16" t="n"/>
      <c r="D30" s="16" t="n"/>
      <c r="E30" s="16" t="n"/>
      <c r="F30" s="17" t="inlineStr">
        <is>
          <t>Suma de CANARAGUA CONCESIONES, S.A.U</t>
        </is>
      </c>
      <c r="G30" s="18">
        <f>SUM(G27:G29)</f>
        <v/>
      </c>
      <c r="H30" s="18">
        <f>SUM(H27:H29)</f>
        <v/>
      </c>
      <c r="I30" s="18">
        <f>SUM(I27:I29)</f>
        <v/>
      </c>
      <c r="J30" s="18">
        <f>SUM(J27:J29)</f>
        <v/>
      </c>
      <c r="K30" s="16" t="n"/>
      <c r="L30" s="16" t="n"/>
      <c r="M30" s="16" t="n"/>
      <c r="N30" s="16" t="n"/>
      <c r="O30" s="16" t="n"/>
      <c r="P30" s="16" t="n"/>
      <c r="Q30" s="16" t="n"/>
    </row>
    <row r="32">
      <c r="A32" s="7" t="inlineStr">
        <is>
          <t>CLOE LORENZO S.L</t>
        </is>
      </c>
      <c r="B32" s="8" t="inlineStr">
        <is>
          <t>B76370667</t>
        </is>
      </c>
      <c r="C32" s="9" t="n"/>
      <c r="D32" s="9" t="n"/>
      <c r="E32" s="9" t="n"/>
      <c r="F32" s="9" t="n"/>
      <c r="G32" s="9" t="n"/>
      <c r="H32" s="9" t="n"/>
      <c r="I32" s="9" t="n"/>
      <c r="J32" s="9" t="n"/>
      <c r="K32" s="9" t="n"/>
      <c r="L32" s="9" t="n"/>
      <c r="M32" s="9" t="n"/>
      <c r="N32" s="9" t="n"/>
      <c r="O32" s="9" t="n"/>
      <c r="P32" s="9" t="n"/>
      <c r="Q32" s="9" t="n"/>
    </row>
    <row r="33">
      <c r="A33" s="10" t="inlineStr"/>
      <c r="B33" s="10" t="inlineStr"/>
      <c r="C33" s="10" t="inlineStr">
        <is>
          <t>210644</t>
        </is>
      </c>
      <c r="D33" s="11" t="n">
        <v>44474</v>
      </c>
      <c r="E33" s="10" t="inlineStr">
        <is>
          <t>Pendiente</t>
        </is>
      </c>
      <c r="F33" s="10" t="inlineStr">
        <is>
          <t>1 Cobro parcial</t>
        </is>
      </c>
      <c r="G33" s="12" t="n">
        <v>9246.200000000001</v>
      </c>
      <c r="H33" s="12" t="n">
        <v>0</v>
      </c>
      <c r="I33" s="12" t="n">
        <v>2169.49</v>
      </c>
      <c r="J33" s="12">
        <f>I33-H33</f>
        <v/>
      </c>
      <c r="K33" s="13" t="n">
        <v>3</v>
      </c>
      <c r="L33" s="11" t="n">
        <v>44497</v>
      </c>
      <c r="M33" s="11" t="n">
        <v>44524</v>
      </c>
      <c r="N33" s="12">
        <f>G33-MAX(H33,I33)</f>
        <v/>
      </c>
      <c r="O33" s="14" t="inlineStr">
        <is>
          <t>La columna esta a cero pero si hay cobros anotados</t>
        </is>
      </c>
      <c r="P33" s="15" t="inlineStr"/>
      <c r="Q33" s="15" t="inlineStr"/>
    </row>
    <row r="34">
      <c r="A34" s="16" t="inlineStr"/>
      <c r="B34" s="16" t="n"/>
      <c r="C34" s="16" t="n"/>
      <c r="D34" s="16" t="n"/>
      <c r="E34" s="16" t="n"/>
      <c r="F34" s="17" t="inlineStr">
        <is>
          <t>Suma de CLOE LORENZO S.L</t>
        </is>
      </c>
      <c r="G34" s="18">
        <f>SUM(G33:G33)</f>
        <v/>
      </c>
      <c r="H34" s="18">
        <f>SUM(H33:H33)</f>
        <v/>
      </c>
      <c r="I34" s="18">
        <f>SUM(I33:I33)</f>
        <v/>
      </c>
      <c r="J34" s="18">
        <f>SUM(J33:J33)</f>
        <v/>
      </c>
      <c r="K34" s="16" t="n"/>
      <c r="L34" s="16" t="n"/>
      <c r="M34" s="16" t="n"/>
      <c r="N34" s="16" t="n"/>
      <c r="O34" s="16" t="n"/>
      <c r="P34" s="16" t="n"/>
      <c r="Q34" s="16" t="n"/>
    </row>
    <row r="36">
      <c r="A36" s="7" t="inlineStr">
        <is>
          <t>CLUB MISTRAL FUERTEVENTURA, S.L.</t>
        </is>
      </c>
      <c r="B36" s="8" t="inlineStr"/>
      <c r="C36" s="9" t="n"/>
      <c r="D36" s="9" t="n"/>
      <c r="E36" s="9" t="n"/>
      <c r="F36" s="9" t="n"/>
      <c r="G36" s="9" t="n"/>
      <c r="H36" s="9" t="n"/>
      <c r="I36" s="9" t="n"/>
      <c r="J36" s="9" t="n"/>
      <c r="K36" s="9" t="n"/>
      <c r="L36" s="9" t="n"/>
      <c r="M36" s="9" t="n"/>
      <c r="N36" s="9" t="n"/>
      <c r="O36" s="9" t="n"/>
      <c r="P36" s="9" t="n"/>
      <c r="Q36" s="9" t="n"/>
    </row>
    <row r="37">
      <c r="A37" s="10" t="inlineStr"/>
      <c r="B37" s="10" t="inlineStr"/>
      <c r="C37" s="10" t="inlineStr">
        <is>
          <t>3429</t>
        </is>
      </c>
      <c r="D37" s="11" t="n">
        <v>42978</v>
      </c>
      <c r="E37" s="10" t="inlineStr">
        <is>
          <t>Cobrada</t>
        </is>
      </c>
      <c r="F37" s="10" t="inlineStr">
        <is>
          <t>2 Cobrada</t>
        </is>
      </c>
      <c r="G37" s="12" t="n">
        <v>264</v>
      </c>
      <c r="H37" s="12" t="n">
        <v>264</v>
      </c>
      <c r="I37" s="12" t="n">
        <v>198</v>
      </c>
      <c r="J37" s="12">
        <f>I37-H37</f>
        <v/>
      </c>
      <c r="K37" s="13" t="n">
        <v>1</v>
      </c>
      <c r="L37" s="11" t="n">
        <v>42985</v>
      </c>
      <c r="M37" s="11" t="n">
        <v>42985</v>
      </c>
      <c r="N37" s="12">
        <f>G37-MAX(H37,I37)</f>
        <v/>
      </c>
      <c r="O37" s="14" t="inlineStr">
        <is>
          <t>Faltan cobros por anotar, o la columna se quedo por encima</t>
        </is>
      </c>
      <c r="P37" s="15" t="inlineStr"/>
      <c r="Q37" s="15" t="inlineStr"/>
    </row>
    <row r="38">
      <c r="A38" s="16" t="inlineStr"/>
      <c r="B38" s="16" t="n"/>
      <c r="C38" s="16" t="n"/>
      <c r="D38" s="16" t="n"/>
      <c r="E38" s="16" t="n"/>
      <c r="F38" s="17" t="inlineStr">
        <is>
          <t>Suma de CLUB MISTRAL FUERTEVENTURA, S.L.</t>
        </is>
      </c>
      <c r="G38" s="18">
        <f>SUM(G37:G37)</f>
        <v/>
      </c>
      <c r="H38" s="18">
        <f>SUM(H37:H37)</f>
        <v/>
      </c>
      <c r="I38" s="18">
        <f>SUM(I37:I37)</f>
        <v/>
      </c>
      <c r="J38" s="18">
        <f>SUM(J37:J37)</f>
        <v/>
      </c>
      <c r="K38" s="16" t="n"/>
      <c r="L38" s="16" t="n"/>
      <c r="M38" s="16" t="n"/>
      <c r="N38" s="16" t="n"/>
      <c r="O38" s="16" t="n"/>
      <c r="P38" s="16" t="n"/>
      <c r="Q38" s="16" t="n"/>
    </row>
    <row r="40">
      <c r="A40" s="7" t="inlineStr">
        <is>
          <t>ECOLOGIA Y CONSTRUCCION FESUMAR SL</t>
        </is>
      </c>
      <c r="B40" s="8" t="inlineStr">
        <is>
          <t>B76055839</t>
        </is>
      </c>
      <c r="C40" s="9" t="n"/>
      <c r="D40" s="9" t="n"/>
      <c r="E40" s="9" t="n"/>
      <c r="F40" s="9" t="n"/>
      <c r="G40" s="9" t="n"/>
      <c r="H40" s="9" t="n"/>
      <c r="I40" s="9" t="n"/>
      <c r="J40" s="9" t="n"/>
      <c r="K40" s="9" t="n"/>
      <c r="L40" s="9" t="n"/>
      <c r="M40" s="9" t="n"/>
      <c r="N40" s="9" t="n"/>
      <c r="O40" s="9" t="n"/>
      <c r="P40" s="9" t="n"/>
      <c r="Q40" s="9" t="n"/>
    </row>
    <row r="41">
      <c r="A41" s="10" t="inlineStr"/>
      <c r="B41" s="10" t="inlineStr"/>
      <c r="C41" s="10" t="inlineStr">
        <is>
          <t>220664</t>
        </is>
      </c>
      <c r="D41" s="11" t="n">
        <v>44804</v>
      </c>
      <c r="E41" s="10" t="inlineStr">
        <is>
          <t>Cobrada</t>
        </is>
      </c>
      <c r="F41" s="10" t="inlineStr">
        <is>
          <t>2 Cobrada</t>
        </is>
      </c>
      <c r="G41" s="12" t="n">
        <v>36080.36</v>
      </c>
      <c r="H41" s="12" t="n">
        <v>36080.36</v>
      </c>
      <c r="I41" s="12" t="n">
        <v>35344.79</v>
      </c>
      <c r="J41" s="12">
        <f>I41-H41</f>
        <v/>
      </c>
      <c r="K41" s="13" t="n">
        <v>1</v>
      </c>
      <c r="L41" s="11" t="n">
        <v>44829</v>
      </c>
      <c r="M41" s="11" t="n">
        <v>44829</v>
      </c>
      <c r="N41" s="12">
        <f>G41-MAX(H41,I41)</f>
        <v/>
      </c>
      <c r="O41" s="14" t="inlineStr">
        <is>
          <t>Faltan cobros por anotar, o la columna se quedo por encima</t>
        </is>
      </c>
      <c r="P41" s="15" t="inlineStr"/>
      <c r="Q41" s="15" t="inlineStr"/>
    </row>
    <row r="42">
      <c r="A42" s="16" t="inlineStr"/>
      <c r="B42" s="16" t="n"/>
      <c r="C42" s="16" t="n"/>
      <c r="D42" s="16" t="n"/>
      <c r="E42" s="16" t="n"/>
      <c r="F42" s="17" t="inlineStr">
        <is>
          <t>Suma de ECOLOGIA Y CONSTRUCCION FESUMAR SL</t>
        </is>
      </c>
      <c r="G42" s="18">
        <f>SUM(G41:G41)</f>
        <v/>
      </c>
      <c r="H42" s="18">
        <f>SUM(H41:H41)</f>
        <v/>
      </c>
      <c r="I42" s="18">
        <f>SUM(I41:I41)</f>
        <v/>
      </c>
      <c r="J42" s="18">
        <f>SUM(J41:J41)</f>
        <v/>
      </c>
      <c r="K42" s="16" t="n"/>
      <c r="L42" s="16" t="n"/>
      <c r="M42" s="16" t="n"/>
      <c r="N42" s="16" t="n"/>
      <c r="O42" s="16" t="n"/>
      <c r="P42" s="16" t="n"/>
      <c r="Q42" s="16" t="n"/>
    </row>
    <row r="44">
      <c r="A44" s="7" t="inlineStr">
        <is>
          <t>ECOTRANS 2000, S.L.</t>
        </is>
      </c>
      <c r="B44" s="8" t="inlineStr">
        <is>
          <t>B38626073</t>
        </is>
      </c>
      <c r="C44" s="9" t="n"/>
      <c r="D44" s="9" t="n"/>
      <c r="E44" s="9" t="n"/>
      <c r="F44" s="9" t="n"/>
      <c r="G44" s="9" t="n"/>
      <c r="H44" s="9" t="n"/>
      <c r="I44" s="9" t="n"/>
      <c r="J44" s="9" t="n"/>
      <c r="K44" s="9" t="n"/>
      <c r="L44" s="9" t="n"/>
      <c r="M44" s="9" t="n"/>
      <c r="N44" s="9" t="n"/>
      <c r="O44" s="9" t="n"/>
      <c r="P44" s="9" t="n"/>
      <c r="Q44" s="9" t="n"/>
    </row>
    <row r="45">
      <c r="A45" s="10" t="inlineStr"/>
      <c r="B45" s="10" t="inlineStr"/>
      <c r="C45" s="10" t="inlineStr">
        <is>
          <t>190529</t>
        </is>
      </c>
      <c r="D45" s="11" t="n">
        <v>43707</v>
      </c>
      <c r="E45" s="10" t="inlineStr">
        <is>
          <t>Cobrada</t>
        </is>
      </c>
      <c r="F45" s="10" t="inlineStr">
        <is>
          <t>2 Cobrada</t>
        </is>
      </c>
      <c r="G45" s="12" t="n">
        <v>32209.39</v>
      </c>
      <c r="H45" s="12" t="n">
        <v>32209.39</v>
      </c>
      <c r="I45" s="12" t="n">
        <v>23909.16</v>
      </c>
      <c r="J45" s="12">
        <f>I45-H45</f>
        <v/>
      </c>
      <c r="K45" s="13" t="n">
        <v>2</v>
      </c>
      <c r="L45" s="11" t="n">
        <v>43728</v>
      </c>
      <c r="M45" s="11" t="n">
        <v>43732</v>
      </c>
      <c r="N45" s="12">
        <f>G45-MAX(H45,I45)</f>
        <v/>
      </c>
      <c r="O45" s="14" t="inlineStr">
        <is>
          <t>Faltan cobros por anotar, o la columna se quedo por encima</t>
        </is>
      </c>
      <c r="P45" s="15" t="inlineStr"/>
      <c r="Q45" s="15" t="inlineStr"/>
    </row>
    <row r="46">
      <c r="A46" s="16" t="inlineStr"/>
      <c r="B46" s="16" t="n"/>
      <c r="C46" s="16" t="n"/>
      <c r="D46" s="16" t="n"/>
      <c r="E46" s="16" t="n"/>
      <c r="F46" s="17" t="inlineStr">
        <is>
          <t>Suma de ECOTRANS 2000, S.L.</t>
        </is>
      </c>
      <c r="G46" s="18">
        <f>SUM(G45:G45)</f>
        <v/>
      </c>
      <c r="H46" s="18">
        <f>SUM(H45:H45)</f>
        <v/>
      </c>
      <c r="I46" s="18">
        <f>SUM(I45:I45)</f>
        <v/>
      </c>
      <c r="J46" s="18">
        <f>SUM(J45:J45)</f>
        <v/>
      </c>
      <c r="K46" s="16" t="n"/>
      <c r="L46" s="16" t="n"/>
      <c r="M46" s="16" t="n"/>
      <c r="N46" s="16" t="n"/>
      <c r="O46" s="16" t="n"/>
      <c r="P46" s="16" t="n"/>
      <c r="Q46" s="16" t="n"/>
    </row>
    <row r="48">
      <c r="A48" s="7" t="inlineStr">
        <is>
          <t>EL CAMILO COSILN, S.L</t>
        </is>
      </c>
      <c r="B48" s="8" t="inlineStr">
        <is>
          <t>B76190701</t>
        </is>
      </c>
      <c r="C48" s="9" t="n"/>
      <c r="D48" s="9" t="n"/>
      <c r="E48" s="9" t="n"/>
      <c r="F48" s="9" t="n"/>
      <c r="G48" s="9" t="n"/>
      <c r="H48" s="9" t="n"/>
      <c r="I48" s="9" t="n"/>
      <c r="J48" s="9" t="n"/>
      <c r="K48" s="9" t="n"/>
      <c r="L48" s="9" t="n"/>
      <c r="M48" s="9" t="n"/>
      <c r="N48" s="9" t="n"/>
      <c r="O48" s="9" t="n"/>
      <c r="P48" s="9" t="n"/>
      <c r="Q48" s="9" t="n"/>
    </row>
    <row r="49">
      <c r="A49" s="10" t="inlineStr"/>
      <c r="B49" s="10" t="inlineStr"/>
      <c r="C49" s="10" t="inlineStr">
        <is>
          <t>3749</t>
        </is>
      </c>
      <c r="D49" s="11" t="n">
        <v>43126</v>
      </c>
      <c r="E49" s="10" t="inlineStr">
        <is>
          <t>Cobrada</t>
        </is>
      </c>
      <c r="F49" s="10" t="inlineStr">
        <is>
          <t>2 Cobrada</t>
        </is>
      </c>
      <c r="G49" s="12" t="n">
        <v>580.89</v>
      </c>
      <c r="H49" s="12" t="n">
        <v>580.89</v>
      </c>
      <c r="I49" s="12" t="n">
        <v>0.8</v>
      </c>
      <c r="J49" s="12">
        <f>I49-H49</f>
        <v/>
      </c>
      <c r="K49" s="13" t="n">
        <v>1</v>
      </c>
      <c r="L49" s="11" t="n">
        <v>43126</v>
      </c>
      <c r="M49" s="11" t="n">
        <v>43126</v>
      </c>
      <c r="N49" s="12">
        <f>G49-MAX(H49,I49)</f>
        <v/>
      </c>
      <c r="O49" s="14" t="inlineStr">
        <is>
          <t>Faltan cobros por anotar, o la columna se quedo por encima</t>
        </is>
      </c>
      <c r="P49" s="15" t="inlineStr"/>
      <c r="Q49" s="15" t="inlineStr"/>
    </row>
    <row r="50">
      <c r="A50" s="16" t="inlineStr"/>
      <c r="B50" s="16" t="n"/>
      <c r="C50" s="16" t="n"/>
      <c r="D50" s="16" t="n"/>
      <c r="E50" s="16" t="n"/>
      <c r="F50" s="17" t="inlineStr">
        <is>
          <t>Suma de EL CAMILO COSILN, S.L</t>
        </is>
      </c>
      <c r="G50" s="18">
        <f>SUM(G49:G49)</f>
        <v/>
      </c>
      <c r="H50" s="18">
        <f>SUM(H49:H49)</f>
        <v/>
      </c>
      <c r="I50" s="18">
        <f>SUM(I49:I49)</f>
        <v/>
      </c>
      <c r="J50" s="18">
        <f>SUM(J49:J49)</f>
        <v/>
      </c>
      <c r="K50" s="16" t="n"/>
      <c r="L50" s="16" t="n"/>
      <c r="M50" s="16" t="n"/>
      <c r="N50" s="16" t="n"/>
      <c r="O50" s="16" t="n"/>
      <c r="P50" s="16" t="n"/>
      <c r="Q50" s="16" t="n"/>
    </row>
    <row r="52">
      <c r="A52" s="7" t="inlineStr">
        <is>
          <t>ELITEPLAC, S.L.U</t>
        </is>
      </c>
      <c r="B52" s="8" t="inlineStr">
        <is>
          <t>B76280031</t>
        </is>
      </c>
      <c r="C52" s="9" t="n"/>
      <c r="D52" s="9" t="n"/>
      <c r="E52" s="9" t="n"/>
      <c r="F52" s="9" t="n"/>
      <c r="G52" s="9" t="n"/>
      <c r="H52" s="9" t="n"/>
      <c r="I52" s="9" t="n"/>
      <c r="J52" s="9" t="n"/>
      <c r="K52" s="9" t="n"/>
      <c r="L52" s="9" t="n"/>
      <c r="M52" s="9" t="n"/>
      <c r="N52" s="9" t="n"/>
      <c r="O52" s="9" t="n"/>
      <c r="P52" s="9" t="n"/>
      <c r="Q52" s="9" t="n"/>
    </row>
    <row r="53">
      <c r="A53" s="10" t="inlineStr"/>
      <c r="B53" s="10" t="inlineStr"/>
      <c r="C53" s="10" t="inlineStr">
        <is>
          <t>3346</t>
        </is>
      </c>
      <c r="D53" s="11" t="n">
        <v>42938</v>
      </c>
      <c r="E53" s="10" t="inlineStr">
        <is>
          <t>Cobrada</t>
        </is>
      </c>
      <c r="F53" s="10" t="inlineStr">
        <is>
          <t>2 Cobrada</t>
        </is>
      </c>
      <c r="G53" s="12" t="n">
        <v>269</v>
      </c>
      <c r="H53" s="12" t="n">
        <v>269</v>
      </c>
      <c r="I53" s="12" t="n">
        <v>260</v>
      </c>
      <c r="J53" s="12">
        <f>I53-H53</f>
        <v/>
      </c>
      <c r="K53" s="13" t="n">
        <v>1</v>
      </c>
      <c r="L53" s="11" t="n">
        <v>42937</v>
      </c>
      <c r="M53" s="11" t="n">
        <v>42937</v>
      </c>
      <c r="N53" s="12">
        <f>G53-MAX(H53,I53)</f>
        <v/>
      </c>
      <c r="O53" s="14" t="inlineStr">
        <is>
          <t>Faltan cobros por anotar, o la columna se quedo por encima</t>
        </is>
      </c>
      <c r="P53" s="15" t="inlineStr"/>
      <c r="Q53" s="15" t="inlineStr"/>
    </row>
    <row r="54">
      <c r="A54" s="16" t="inlineStr"/>
      <c r="B54" s="16" t="n"/>
      <c r="C54" s="16" t="n"/>
      <c r="D54" s="16" t="n"/>
      <c r="E54" s="16" t="n"/>
      <c r="F54" s="17" t="inlineStr">
        <is>
          <t>Suma de ELITEPLAC, S.L.U</t>
        </is>
      </c>
      <c r="G54" s="18">
        <f>SUM(G53:G53)</f>
        <v/>
      </c>
      <c r="H54" s="18">
        <f>SUM(H53:H53)</f>
        <v/>
      </c>
      <c r="I54" s="18">
        <f>SUM(I53:I53)</f>
        <v/>
      </c>
      <c r="J54" s="18">
        <f>SUM(J53:J53)</f>
        <v/>
      </c>
      <c r="K54" s="16" t="n"/>
      <c r="L54" s="16" t="n"/>
      <c r="M54" s="16" t="n"/>
      <c r="N54" s="16" t="n"/>
      <c r="O54" s="16" t="n"/>
      <c r="P54" s="16" t="n"/>
      <c r="Q54" s="16" t="n"/>
    </row>
    <row r="56">
      <c r="A56" s="7" t="inlineStr">
        <is>
          <t>FAUSTINO</t>
        </is>
      </c>
      <c r="B56" s="8" t="inlineStr"/>
      <c r="C56" s="9" t="n"/>
      <c r="D56" s="9" t="n"/>
      <c r="E56" s="9" t="n"/>
      <c r="F56" s="9" t="n"/>
      <c r="G56" s="9" t="n"/>
      <c r="H56" s="9" t="n"/>
      <c r="I56" s="9" t="n"/>
      <c r="J56" s="9" t="n"/>
      <c r="K56" s="9" t="n"/>
      <c r="L56" s="9" t="n"/>
      <c r="M56" s="9" t="n"/>
      <c r="N56" s="9" t="n"/>
      <c r="O56" s="9" t="n"/>
      <c r="P56" s="9" t="n"/>
      <c r="Q56" s="9" t="n"/>
    </row>
    <row r="57">
      <c r="A57" s="10" t="inlineStr"/>
      <c r="B57" s="10" t="inlineStr"/>
      <c r="C57" s="10" t="inlineStr">
        <is>
          <t>220392</t>
        </is>
      </c>
      <c r="D57" s="11" t="n">
        <v>44719</v>
      </c>
      <c r="E57" s="10" t="inlineStr">
        <is>
          <t>Cobrada</t>
        </is>
      </c>
      <c r="F57" s="10" t="inlineStr">
        <is>
          <t>2 Cobrada</t>
        </is>
      </c>
      <c r="G57" s="12" t="n">
        <v>140</v>
      </c>
      <c r="H57" s="12" t="n">
        <v>140</v>
      </c>
      <c r="I57" s="12" t="n">
        <v>70</v>
      </c>
      <c r="J57" s="12">
        <f>I57-H57</f>
        <v/>
      </c>
      <c r="K57" s="13" t="n">
        <v>1</v>
      </c>
      <c r="L57" s="11" t="n">
        <v>44719</v>
      </c>
      <c r="M57" s="11" t="n">
        <v>44719</v>
      </c>
      <c r="N57" s="12">
        <f>G57-MAX(H57,I57)</f>
        <v/>
      </c>
      <c r="O57" s="14" t="inlineStr">
        <is>
          <t>La columna dice justo el doble de lo que suman los cobros</t>
        </is>
      </c>
      <c r="P57" s="15" t="inlineStr"/>
      <c r="Q57" s="15" t="inlineStr"/>
    </row>
    <row r="58">
      <c r="A58" s="16" t="inlineStr"/>
      <c r="B58" s="16" t="n"/>
      <c r="C58" s="16" t="n"/>
      <c r="D58" s="16" t="n"/>
      <c r="E58" s="16" t="n"/>
      <c r="F58" s="17" t="inlineStr">
        <is>
          <t>Suma de FAUSTINO</t>
        </is>
      </c>
      <c r="G58" s="18">
        <f>SUM(G57:G57)</f>
        <v/>
      </c>
      <c r="H58" s="18">
        <f>SUM(H57:H57)</f>
        <v/>
      </c>
      <c r="I58" s="18">
        <f>SUM(I57:I57)</f>
        <v/>
      </c>
      <c r="J58" s="18">
        <f>SUM(J57:J57)</f>
        <v/>
      </c>
      <c r="K58" s="16" t="n"/>
      <c r="L58" s="16" t="n"/>
      <c r="M58" s="16" t="n"/>
      <c r="N58" s="16" t="n"/>
      <c r="O58" s="16" t="n"/>
      <c r="P58" s="16" t="n"/>
      <c r="Q58" s="16" t="n"/>
    </row>
    <row r="60">
      <c r="A60" s="7" t="inlineStr">
        <is>
          <t>FERPASOL S.L</t>
        </is>
      </c>
      <c r="B60" s="8" t="inlineStr">
        <is>
          <t>B35126150</t>
        </is>
      </c>
      <c r="C60" s="9" t="n"/>
      <c r="D60" s="9" t="n"/>
      <c r="E60" s="9" t="n"/>
      <c r="F60" s="9" t="n"/>
      <c r="G60" s="9" t="n"/>
      <c r="H60" s="9" t="n"/>
      <c r="I60" s="9" t="n"/>
      <c r="J60" s="9" t="n"/>
      <c r="K60" s="9" t="n"/>
      <c r="L60" s="9" t="n"/>
      <c r="M60" s="9" t="n"/>
      <c r="N60" s="9" t="n"/>
      <c r="O60" s="9" t="n"/>
      <c r="P60" s="9" t="n"/>
      <c r="Q60" s="9" t="n"/>
    </row>
    <row r="61">
      <c r="A61" s="10" t="inlineStr"/>
      <c r="B61" s="10" t="inlineStr"/>
      <c r="C61" s="10" t="inlineStr">
        <is>
          <t>200115</t>
        </is>
      </c>
      <c r="D61" s="11" t="n">
        <v>43890</v>
      </c>
      <c r="E61" s="10" t="inlineStr">
        <is>
          <t>Cobrada</t>
        </is>
      </c>
      <c r="F61" s="10" t="inlineStr">
        <is>
          <t>2 Cobrada</t>
        </is>
      </c>
      <c r="G61" s="12" t="n">
        <v>930</v>
      </c>
      <c r="H61" s="12" t="n">
        <v>930</v>
      </c>
      <c r="I61" s="12" t="n">
        <v>430</v>
      </c>
      <c r="J61" s="12">
        <f>I61-H61</f>
        <v/>
      </c>
      <c r="K61" s="13" t="n">
        <v>1</v>
      </c>
      <c r="L61" s="11" t="n">
        <v>43990</v>
      </c>
      <c r="M61" s="11" t="n">
        <v>43990</v>
      </c>
      <c r="N61" s="12">
        <f>G61-MAX(H61,I61)</f>
        <v/>
      </c>
      <c r="O61" s="14" t="inlineStr">
        <is>
          <t>Faltan cobros por anotar, o la columna se quedo por encima</t>
        </is>
      </c>
      <c r="P61" s="15" t="inlineStr"/>
      <c r="Q61" s="15" t="inlineStr"/>
    </row>
    <row r="62">
      <c r="A62" s="16" t="inlineStr"/>
      <c r="B62" s="16" t="n"/>
      <c r="C62" s="16" t="n"/>
      <c r="D62" s="16" t="n"/>
      <c r="E62" s="16" t="n"/>
      <c r="F62" s="17" t="inlineStr">
        <is>
          <t>Suma de FERPASOL S.L</t>
        </is>
      </c>
      <c r="G62" s="18">
        <f>SUM(G61:G61)</f>
        <v/>
      </c>
      <c r="H62" s="18">
        <f>SUM(H61:H61)</f>
        <v/>
      </c>
      <c r="I62" s="18">
        <f>SUM(I61:I61)</f>
        <v/>
      </c>
      <c r="J62" s="18">
        <f>SUM(J61:J61)</f>
        <v/>
      </c>
      <c r="K62" s="16" t="n"/>
      <c r="L62" s="16" t="n"/>
      <c r="M62" s="16" t="n"/>
      <c r="N62" s="16" t="n"/>
      <c r="O62" s="16" t="n"/>
      <c r="P62" s="16" t="n"/>
      <c r="Q62" s="16" t="n"/>
    </row>
    <row r="64">
      <c r="A64" s="7" t="inlineStr">
        <is>
          <t>FUERTECASA GRUPO INMOBILIARIO SOCIEDAD LIMITADA</t>
        </is>
      </c>
      <c r="B64" s="8" t="inlineStr">
        <is>
          <t>B88111471</t>
        </is>
      </c>
      <c r="C64" s="9" t="n"/>
      <c r="D64" s="9" t="n"/>
      <c r="E64" s="9" t="n"/>
      <c r="F64" s="9" t="n"/>
      <c r="G64" s="9" t="n"/>
      <c r="H64" s="9" t="n"/>
      <c r="I64" s="9" t="n"/>
      <c r="J64" s="9" t="n"/>
      <c r="K64" s="9" t="n"/>
      <c r="L64" s="9" t="n"/>
      <c r="M64" s="9" t="n"/>
      <c r="N64" s="9" t="n"/>
      <c r="O64" s="9" t="n"/>
      <c r="P64" s="9" t="n"/>
      <c r="Q64" s="9" t="n"/>
    </row>
    <row r="65">
      <c r="A65" s="10" t="inlineStr"/>
      <c r="B65" s="10" t="inlineStr"/>
      <c r="C65" s="10" t="inlineStr">
        <is>
          <t>240602</t>
        </is>
      </c>
      <c r="D65" s="11" t="n">
        <v>45535</v>
      </c>
      <c r="E65" s="10" t="inlineStr">
        <is>
          <t>Cobrada</t>
        </is>
      </c>
      <c r="F65" s="10" t="inlineStr">
        <is>
          <t>2 Cobrada</t>
        </is>
      </c>
      <c r="G65" s="12" t="n">
        <v>26229.4</v>
      </c>
      <c r="H65" s="12" t="n">
        <v>26229.4</v>
      </c>
      <c r="I65" s="12" t="n">
        <v>13114.7</v>
      </c>
      <c r="J65" s="12">
        <f>I65-H65</f>
        <v/>
      </c>
      <c r="K65" s="13" t="n">
        <v>1</v>
      </c>
      <c r="L65" s="11" t="n">
        <v>45544</v>
      </c>
      <c r="M65" s="11" t="n">
        <v>45544</v>
      </c>
      <c r="N65" s="12">
        <f>G65-MAX(H65,I65)</f>
        <v/>
      </c>
      <c r="O65" s="14" t="inlineStr">
        <is>
          <t>La columna dice justo el doble de lo que suman los cobros</t>
        </is>
      </c>
      <c r="P65" s="15" t="inlineStr"/>
      <c r="Q65" s="15" t="inlineStr"/>
    </row>
    <row r="66">
      <c r="A66" s="10" t="inlineStr"/>
      <c r="B66" s="10" t="inlineStr"/>
      <c r="C66" s="10" t="inlineStr">
        <is>
          <t>240689</t>
        </is>
      </c>
      <c r="D66" s="11" t="n">
        <v>45565</v>
      </c>
      <c r="E66" s="10" t="inlineStr">
        <is>
          <t>Cobrada</t>
        </is>
      </c>
      <c r="F66" s="10" t="inlineStr">
        <is>
          <t>2 Cobrada</t>
        </is>
      </c>
      <c r="G66" s="12" t="n">
        <v>20387.26</v>
      </c>
      <c r="H66" s="12" t="n">
        <v>20387.26</v>
      </c>
      <c r="I66" s="12" t="n">
        <v>10193.63</v>
      </c>
      <c r="J66" s="12">
        <f>I66-H66</f>
        <v/>
      </c>
      <c r="K66" s="13" t="n">
        <v>1</v>
      </c>
      <c r="L66" s="11" t="n">
        <v>45626</v>
      </c>
      <c r="M66" s="11" t="n">
        <v>45626</v>
      </c>
      <c r="N66" s="12">
        <f>G66-MAX(H66,I66)</f>
        <v/>
      </c>
      <c r="O66" s="14" t="inlineStr">
        <is>
          <t>La columna dice justo el doble de lo que suman los cobros</t>
        </is>
      </c>
      <c r="P66" s="15" t="inlineStr"/>
      <c r="Q66" s="15" t="inlineStr"/>
    </row>
    <row r="67">
      <c r="A67" s="16" t="inlineStr"/>
      <c r="B67" s="16" t="n"/>
      <c r="C67" s="16" t="n"/>
      <c r="D67" s="16" t="n"/>
      <c r="E67" s="16" t="n"/>
      <c r="F67" s="17" t="inlineStr">
        <is>
          <t>Suma de FUERTECASA GRUPO INMOBILIARIO SOCIEDAD LIMITADA</t>
        </is>
      </c>
      <c r="G67" s="18">
        <f>SUM(G65:G66)</f>
        <v/>
      </c>
      <c r="H67" s="18">
        <f>SUM(H65:H66)</f>
        <v/>
      </c>
      <c r="I67" s="18">
        <f>SUM(I65:I66)</f>
        <v/>
      </c>
      <c r="J67" s="18">
        <f>SUM(J65:J66)</f>
        <v/>
      </c>
      <c r="K67" s="16" t="n"/>
      <c r="L67" s="16" t="n"/>
      <c r="M67" s="16" t="n"/>
      <c r="N67" s="16" t="n"/>
      <c r="O67" s="16" t="n"/>
      <c r="P67" s="16" t="n"/>
      <c r="Q67" s="16" t="n"/>
    </row>
    <row r="69">
      <c r="A69" s="7" t="inlineStr">
        <is>
          <t>GEFUER SOCIEDAD LIMITADA</t>
        </is>
      </c>
      <c r="B69" s="8" t="inlineStr">
        <is>
          <t>B76306281</t>
        </is>
      </c>
      <c r="C69" s="9" t="n"/>
      <c r="D69" s="9" t="n"/>
      <c r="E69" s="9" t="n"/>
      <c r="F69" s="9" t="n"/>
      <c r="G69" s="9" t="n"/>
      <c r="H69" s="9" t="n"/>
      <c r="I69" s="9" t="n"/>
      <c r="J69" s="9" t="n"/>
      <c r="K69" s="9" t="n"/>
      <c r="L69" s="9" t="n"/>
      <c r="M69" s="9" t="n"/>
      <c r="N69" s="9" t="n"/>
      <c r="O69" s="9" t="n"/>
      <c r="P69" s="9" t="n"/>
      <c r="Q69" s="9" t="n"/>
    </row>
    <row r="70">
      <c r="A70" s="10" t="inlineStr"/>
      <c r="B70" s="10" t="inlineStr"/>
      <c r="C70" s="10" t="inlineStr">
        <is>
          <t>230985</t>
        </is>
      </c>
      <c r="D70" s="11" t="n">
        <v>45291</v>
      </c>
      <c r="E70" s="10" t="inlineStr">
        <is>
          <t>Cobrada</t>
        </is>
      </c>
      <c r="F70" s="10" t="inlineStr">
        <is>
          <t>0 Pendiente</t>
        </is>
      </c>
      <c r="G70" s="12" t="n">
        <v>154.5</v>
      </c>
      <c r="H70" s="12" t="n">
        <v>0</v>
      </c>
      <c r="I70" s="12" t="n">
        <v>154.5</v>
      </c>
      <c r="J70" s="12">
        <f>I70-H70</f>
        <v/>
      </c>
      <c r="K70" s="13" t="n">
        <v>1</v>
      </c>
      <c r="L70" s="11" t="n">
        <v>45337</v>
      </c>
      <c r="M70" s="11" t="n">
        <v>45337</v>
      </c>
      <c r="N70" s="12">
        <f>G70-MAX(H70,I70)</f>
        <v/>
      </c>
      <c r="O70" s="14" t="inlineStr">
        <is>
          <t>La columna esta a cero pero si hay cobros anotados</t>
        </is>
      </c>
      <c r="P70" s="15" t="inlineStr"/>
      <c r="Q70" s="15" t="inlineStr"/>
    </row>
    <row r="71">
      <c r="A71" s="16" t="inlineStr"/>
      <c r="B71" s="16" t="n"/>
      <c r="C71" s="16" t="n"/>
      <c r="D71" s="16" t="n"/>
      <c r="E71" s="16" t="n"/>
      <c r="F71" s="17" t="inlineStr">
        <is>
          <t>Suma de GEFUER SOCIEDAD LIMITADA</t>
        </is>
      </c>
      <c r="G71" s="18">
        <f>SUM(G70:G70)</f>
        <v/>
      </c>
      <c r="H71" s="18">
        <f>SUM(H70:H70)</f>
        <v/>
      </c>
      <c r="I71" s="18">
        <f>SUM(I70:I70)</f>
        <v/>
      </c>
      <c r="J71" s="18">
        <f>SUM(J70:J70)</f>
        <v/>
      </c>
      <c r="K71" s="16" t="n"/>
      <c r="L71" s="16" t="n"/>
      <c r="M71" s="16" t="n"/>
      <c r="N71" s="16" t="n"/>
      <c r="O71" s="16" t="n"/>
      <c r="P71" s="16" t="n"/>
      <c r="Q71" s="16" t="n"/>
    </row>
    <row r="73">
      <c r="A73" s="7" t="inlineStr">
        <is>
          <t>GEOTECNIA PERFORACIONES DOMINGUEZ, S.L</t>
        </is>
      </c>
      <c r="B73" s="8" t="inlineStr">
        <is>
          <t>B76204551</t>
        </is>
      </c>
      <c r="C73" s="9" t="n"/>
      <c r="D73" s="9" t="n"/>
      <c r="E73" s="9" t="n"/>
      <c r="F73" s="9" t="n"/>
      <c r="G73" s="9" t="n"/>
      <c r="H73" s="9" t="n"/>
      <c r="I73" s="9" t="n"/>
      <c r="J73" s="9" t="n"/>
      <c r="K73" s="9" t="n"/>
      <c r="L73" s="9" t="n"/>
      <c r="M73" s="9" t="n"/>
      <c r="N73" s="9" t="n"/>
      <c r="O73" s="9" t="n"/>
      <c r="P73" s="9" t="n"/>
      <c r="Q73" s="9" t="n"/>
    </row>
    <row r="74">
      <c r="A74" s="10" t="inlineStr"/>
      <c r="B74" s="10" t="inlineStr"/>
      <c r="C74" s="10" t="inlineStr">
        <is>
          <t>3102</t>
        </is>
      </c>
      <c r="D74" s="11" t="n">
        <v>42825</v>
      </c>
      <c r="E74" s="10" t="inlineStr">
        <is>
          <t>Cobrada</t>
        </is>
      </c>
      <c r="F74" s="10" t="inlineStr">
        <is>
          <t>2 Cobrada</t>
        </is>
      </c>
      <c r="G74" s="12" t="n">
        <v>103</v>
      </c>
      <c r="H74" s="12" t="n">
        <v>103</v>
      </c>
      <c r="I74" s="12" t="n">
        <v>3</v>
      </c>
      <c r="J74" s="12">
        <f>I74-H74</f>
        <v/>
      </c>
      <c r="K74" s="13" t="n">
        <v>1</v>
      </c>
      <c r="L74" s="11" t="n">
        <v>42845</v>
      </c>
      <c r="M74" s="11" t="n">
        <v>42845</v>
      </c>
      <c r="N74" s="12">
        <f>G74-MAX(H74,I74)</f>
        <v/>
      </c>
      <c r="O74" s="14" t="inlineStr">
        <is>
          <t>Faltan cobros por anotar, o la columna se quedo por encima</t>
        </is>
      </c>
      <c r="P74" s="15" t="inlineStr"/>
      <c r="Q74" s="15" t="inlineStr"/>
    </row>
    <row r="75">
      <c r="A75" s="16" t="inlineStr"/>
      <c r="B75" s="16" t="n"/>
      <c r="C75" s="16" t="n"/>
      <c r="D75" s="16" t="n"/>
      <c r="E75" s="16" t="n"/>
      <c r="F75" s="17" t="inlineStr">
        <is>
          <t>Suma de GEOTECNIA PERFORACIONES DOMINGUEZ, S.L</t>
        </is>
      </c>
      <c r="G75" s="18">
        <f>SUM(G74:G74)</f>
        <v/>
      </c>
      <c r="H75" s="18">
        <f>SUM(H74:H74)</f>
        <v/>
      </c>
      <c r="I75" s="18">
        <f>SUM(I74:I74)</f>
        <v/>
      </c>
      <c r="J75" s="18">
        <f>SUM(J74:J74)</f>
        <v/>
      </c>
      <c r="K75" s="16" t="n"/>
      <c r="L75" s="16" t="n"/>
      <c r="M75" s="16" t="n"/>
      <c r="N75" s="16" t="n"/>
      <c r="O75" s="16" t="n"/>
      <c r="P75" s="16" t="n"/>
      <c r="Q75" s="16" t="n"/>
    </row>
    <row r="77">
      <c r="A77" s="7" t="inlineStr">
        <is>
          <t>GRUPO SUPERIOR DE FORMACION CANARIAS SL</t>
        </is>
      </c>
      <c r="B77" s="8" t="inlineStr">
        <is>
          <t>B35680230</t>
        </is>
      </c>
      <c r="C77" s="9" t="n"/>
      <c r="D77" s="9" t="n"/>
      <c r="E77" s="9" t="n"/>
      <c r="F77" s="9" t="n"/>
      <c r="G77" s="9" t="n"/>
      <c r="H77" s="9" t="n"/>
      <c r="I77" s="9" t="n"/>
      <c r="J77" s="9" t="n"/>
      <c r="K77" s="9" t="n"/>
      <c r="L77" s="9" t="n"/>
      <c r="M77" s="9" t="n"/>
      <c r="N77" s="9" t="n"/>
      <c r="O77" s="9" t="n"/>
      <c r="P77" s="9" t="n"/>
      <c r="Q77" s="9" t="n"/>
    </row>
    <row r="78">
      <c r="A78" s="10" t="inlineStr"/>
      <c r="B78" s="10" t="inlineStr"/>
      <c r="C78" s="10" t="inlineStr">
        <is>
          <t>250532</t>
        </is>
      </c>
      <c r="D78" s="11" t="n">
        <v>45896</v>
      </c>
      <c r="E78" s="10" t="inlineStr">
        <is>
          <t>Cobrada</t>
        </is>
      </c>
      <c r="F78" s="10" t="inlineStr">
        <is>
          <t>1 Cobro parcial</t>
        </is>
      </c>
      <c r="G78" s="12" t="n">
        <v>7276</v>
      </c>
      <c r="H78" s="12" t="n">
        <v>7276</v>
      </c>
      <c r="I78" s="12" t="n">
        <v>3400</v>
      </c>
      <c r="J78" s="12">
        <f>I78-H78</f>
        <v/>
      </c>
      <c r="K78" s="13" t="n">
        <v>1</v>
      </c>
      <c r="L78" s="11" t="n">
        <v>45896</v>
      </c>
      <c r="M78" s="11" t="n">
        <v>45896</v>
      </c>
      <c r="N78" s="12">
        <f>G78-MAX(H78,I78)</f>
        <v/>
      </c>
      <c r="O78" s="14" t="inlineStr">
        <is>
          <t>Faltan cobros por anotar, o la columna se quedo por encima</t>
        </is>
      </c>
      <c r="P78" s="15" t="inlineStr"/>
      <c r="Q78" s="15" t="inlineStr"/>
    </row>
    <row r="79">
      <c r="A79" s="16" t="inlineStr"/>
      <c r="B79" s="16" t="n"/>
      <c r="C79" s="16" t="n"/>
      <c r="D79" s="16" t="n"/>
      <c r="E79" s="16" t="n"/>
      <c r="F79" s="17" t="inlineStr">
        <is>
          <t>Suma de GRUPO SUPERIOR DE FORMACION CANARIAS SL</t>
        </is>
      </c>
      <c r="G79" s="18">
        <f>SUM(G78:G78)</f>
        <v/>
      </c>
      <c r="H79" s="18">
        <f>SUM(H78:H78)</f>
        <v/>
      </c>
      <c r="I79" s="18">
        <f>SUM(I78:I78)</f>
        <v/>
      </c>
      <c r="J79" s="18">
        <f>SUM(J78:J78)</f>
        <v/>
      </c>
      <c r="K79" s="16" t="n"/>
      <c r="L79" s="16" t="n"/>
      <c r="M79" s="16" t="n"/>
      <c r="N79" s="16" t="n"/>
      <c r="O79" s="16" t="n"/>
      <c r="P79" s="16" t="n"/>
      <c r="Q79" s="16" t="n"/>
    </row>
    <row r="81">
      <c r="A81" s="7" t="inlineStr">
        <is>
          <t>HORPAVI 3000, S.L</t>
        </is>
      </c>
      <c r="B81" s="8" t="inlineStr">
        <is>
          <t>B76282094</t>
        </is>
      </c>
      <c r="C81" s="9" t="n"/>
      <c r="D81" s="9" t="n"/>
      <c r="E81" s="9" t="n"/>
      <c r="F81" s="9" t="n"/>
      <c r="G81" s="9" t="n"/>
      <c r="H81" s="9" t="n"/>
      <c r="I81" s="9" t="n"/>
      <c r="J81" s="9" t="n"/>
      <c r="K81" s="9" t="n"/>
      <c r="L81" s="9" t="n"/>
      <c r="M81" s="9" t="n"/>
      <c r="N81" s="9" t="n"/>
      <c r="O81" s="9" t="n"/>
      <c r="P81" s="9" t="n"/>
      <c r="Q81" s="9" t="n"/>
    </row>
    <row r="82">
      <c r="A82" s="10" t="inlineStr"/>
      <c r="B82" s="10" t="inlineStr"/>
      <c r="C82" s="10" t="inlineStr">
        <is>
          <t>220457</t>
        </is>
      </c>
      <c r="D82" s="11" t="n">
        <v>44742</v>
      </c>
      <c r="E82" s="10" t="inlineStr">
        <is>
          <t>Cobrada</t>
        </is>
      </c>
      <c r="F82" s="10" t="inlineStr">
        <is>
          <t>2 Cobrada</t>
        </is>
      </c>
      <c r="G82" s="12" t="n">
        <v>2197.26</v>
      </c>
      <c r="H82" s="12" t="n">
        <v>4394.52</v>
      </c>
      <c r="I82" s="12" t="n">
        <v>2197.26</v>
      </c>
      <c r="J82" s="12">
        <f>I82-H82</f>
        <v/>
      </c>
      <c r="K82" s="13" t="n">
        <v>1</v>
      </c>
      <c r="L82" s="11" t="n">
        <v>44827</v>
      </c>
      <c r="M82" s="11" t="n">
        <v>44827</v>
      </c>
      <c r="N82" s="12">
        <f>G82-MAX(H82,I82)</f>
        <v/>
      </c>
      <c r="O82" s="14" t="inlineStr">
        <is>
          <t>La columna pasa del total de la factura: parece contado dos veces</t>
        </is>
      </c>
      <c r="P82" s="15" t="inlineStr"/>
      <c r="Q82" s="15" t="inlineStr"/>
    </row>
    <row r="83">
      <c r="A83" s="16" t="inlineStr"/>
      <c r="B83" s="16" t="n"/>
      <c r="C83" s="16" t="n"/>
      <c r="D83" s="16" t="n"/>
      <c r="E83" s="16" t="n"/>
      <c r="F83" s="17" t="inlineStr">
        <is>
          <t>Suma de HORPAVI 3000, S.L</t>
        </is>
      </c>
      <c r="G83" s="18">
        <f>SUM(G82:G82)</f>
        <v/>
      </c>
      <c r="H83" s="18">
        <f>SUM(H82:H82)</f>
        <v/>
      </c>
      <c r="I83" s="18">
        <f>SUM(I82:I82)</f>
        <v/>
      </c>
      <c r="J83" s="18">
        <f>SUM(J82:J82)</f>
        <v/>
      </c>
      <c r="K83" s="16" t="n"/>
      <c r="L83" s="16" t="n"/>
      <c r="M83" s="16" t="n"/>
      <c r="N83" s="16" t="n"/>
      <c r="O83" s="16" t="n"/>
      <c r="P83" s="16" t="n"/>
      <c r="Q83" s="16" t="n"/>
    </row>
    <row r="85">
      <c r="A85" s="7" t="inlineStr">
        <is>
          <t>LUPIDOS MANAGENMENT, S.L.</t>
        </is>
      </c>
      <c r="B85" s="8" t="inlineStr">
        <is>
          <t>B76193226</t>
        </is>
      </c>
      <c r="C85" s="9" t="n"/>
      <c r="D85" s="9" t="n"/>
      <c r="E85" s="9" t="n"/>
      <c r="F85" s="9" t="n"/>
      <c r="G85" s="9" t="n"/>
      <c r="H85" s="9" t="n"/>
      <c r="I85" s="9" t="n"/>
      <c r="J85" s="9" t="n"/>
      <c r="K85" s="9" t="n"/>
      <c r="L85" s="9" t="n"/>
      <c r="M85" s="9" t="n"/>
      <c r="N85" s="9" t="n"/>
      <c r="O85" s="9" t="n"/>
      <c r="P85" s="9" t="n"/>
      <c r="Q85" s="9" t="n"/>
    </row>
    <row r="86">
      <c r="A86" s="10" t="inlineStr"/>
      <c r="B86" s="10" t="inlineStr"/>
      <c r="C86" s="10" t="inlineStr">
        <is>
          <t>4491</t>
        </is>
      </c>
      <c r="D86" s="11" t="n">
        <v>43404</v>
      </c>
      <c r="E86" s="10" t="inlineStr">
        <is>
          <t>Cobrada</t>
        </is>
      </c>
      <c r="F86" s="10" t="inlineStr">
        <is>
          <t>2 Cobrada</t>
        </is>
      </c>
      <c r="G86" s="12" t="n">
        <v>120</v>
      </c>
      <c r="H86" s="12" t="n">
        <v>120</v>
      </c>
      <c r="I86" s="12" t="n">
        <v>60</v>
      </c>
      <c r="J86" s="12">
        <f>I86-H86</f>
        <v/>
      </c>
      <c r="K86" s="13" t="n">
        <v>1</v>
      </c>
      <c r="L86" s="11" t="n">
        <v>43404</v>
      </c>
      <c r="M86" s="11" t="n">
        <v>43404</v>
      </c>
      <c r="N86" s="12">
        <f>G86-MAX(H86,I86)</f>
        <v/>
      </c>
      <c r="O86" s="14" t="inlineStr">
        <is>
          <t>La columna dice justo el doble de lo que suman los cobros</t>
        </is>
      </c>
      <c r="P86" s="15" t="inlineStr"/>
      <c r="Q86" s="15" t="inlineStr"/>
    </row>
    <row r="87">
      <c r="A87" s="10" t="inlineStr"/>
      <c r="B87" s="10" t="inlineStr"/>
      <c r="C87" s="10" t="inlineStr">
        <is>
          <t>190041</t>
        </is>
      </c>
      <c r="D87" s="11" t="n">
        <v>43496</v>
      </c>
      <c r="E87" s="10" t="inlineStr">
        <is>
          <t>Cobrada</t>
        </is>
      </c>
      <c r="F87" s="10" t="inlineStr">
        <is>
          <t>2 Cobrada</t>
        </is>
      </c>
      <c r="G87" s="12" t="n">
        <v>240</v>
      </c>
      <c r="H87" s="12" t="n">
        <v>240</v>
      </c>
      <c r="I87" s="12" t="n">
        <v>180</v>
      </c>
      <c r="J87" s="12">
        <f>I87-H87</f>
        <v/>
      </c>
      <c r="K87" s="13" t="n">
        <v>1</v>
      </c>
      <c r="L87" s="11" t="n">
        <v>43496</v>
      </c>
      <c r="M87" s="11" t="n">
        <v>43496</v>
      </c>
      <c r="N87" s="12">
        <f>G87-MAX(H87,I87)</f>
        <v/>
      </c>
      <c r="O87" s="14" t="inlineStr">
        <is>
          <t>Faltan cobros por anotar, o la columna se quedo por encima</t>
        </is>
      </c>
      <c r="P87" s="15" t="inlineStr"/>
      <c r="Q87" s="15" t="inlineStr"/>
    </row>
    <row r="88">
      <c r="A88" s="16" t="inlineStr"/>
      <c r="B88" s="16" t="n"/>
      <c r="C88" s="16" t="n"/>
      <c r="D88" s="16" t="n"/>
      <c r="E88" s="16" t="n"/>
      <c r="F88" s="17" t="inlineStr">
        <is>
          <t>Suma de LUPIDOS MANAGENMENT, S.L.</t>
        </is>
      </c>
      <c r="G88" s="18">
        <f>SUM(G86:G87)</f>
        <v/>
      </c>
      <c r="H88" s="18">
        <f>SUM(H86:H87)</f>
        <v/>
      </c>
      <c r="I88" s="18">
        <f>SUM(I86:I87)</f>
        <v/>
      </c>
      <c r="J88" s="18">
        <f>SUM(J86:J87)</f>
        <v/>
      </c>
      <c r="K88" s="16" t="n"/>
      <c r="L88" s="16" t="n"/>
      <c r="M88" s="16" t="n"/>
      <c r="N88" s="16" t="n"/>
      <c r="O88" s="16" t="n"/>
      <c r="P88" s="16" t="n"/>
      <c r="Q88" s="16" t="n"/>
    </row>
    <row r="90">
      <c r="A90" s="7" t="inlineStr">
        <is>
          <t>OBRAS PUBLICAS CANARIAS, S.L  OPC</t>
        </is>
      </c>
      <c r="B90" s="8" t="inlineStr">
        <is>
          <t>B76140953</t>
        </is>
      </c>
      <c r="C90" s="9" t="n"/>
      <c r="D90" s="9" t="n"/>
      <c r="E90" s="9" t="n"/>
      <c r="F90" s="9" t="n"/>
      <c r="G90" s="9" t="n"/>
      <c r="H90" s="9" t="n"/>
      <c r="I90" s="9" t="n"/>
      <c r="J90" s="9" t="n"/>
      <c r="K90" s="9" t="n"/>
      <c r="L90" s="9" t="n"/>
      <c r="M90" s="9" t="n"/>
      <c r="N90" s="9" t="n"/>
      <c r="O90" s="9" t="n"/>
      <c r="P90" s="9" t="n"/>
      <c r="Q90" s="9" t="n"/>
    </row>
    <row r="91">
      <c r="A91" s="10" t="inlineStr"/>
      <c r="B91" s="10" t="inlineStr"/>
      <c r="C91" s="10" t="inlineStr">
        <is>
          <t>2985</t>
        </is>
      </c>
      <c r="D91" s="11" t="n">
        <v>42735</v>
      </c>
      <c r="E91" s="10" t="inlineStr">
        <is>
          <t>Cobrada</t>
        </is>
      </c>
      <c r="F91" s="10" t="inlineStr">
        <is>
          <t>2 Cobrada</t>
        </is>
      </c>
      <c r="G91" s="12" t="n">
        <v>1694.88</v>
      </c>
      <c r="H91" s="12" t="n">
        <v>1694.88</v>
      </c>
      <c r="I91" s="12" t="n">
        <v>871.41</v>
      </c>
      <c r="J91" s="12">
        <f>I91-H91</f>
        <v/>
      </c>
      <c r="K91" s="13" t="n">
        <v>1</v>
      </c>
      <c r="L91" s="11" t="n">
        <v>43181</v>
      </c>
      <c r="M91" s="11" t="n">
        <v>43181</v>
      </c>
      <c r="N91" s="12">
        <f>G91-MAX(H91,I91)</f>
        <v/>
      </c>
      <c r="O91" s="14" t="inlineStr">
        <is>
          <t>Faltan cobros por anotar, o la columna se quedo por encima</t>
        </is>
      </c>
      <c r="P91" s="15" t="inlineStr"/>
      <c r="Q91" s="15" t="inlineStr"/>
    </row>
    <row r="92">
      <c r="A92" s="16" t="inlineStr"/>
      <c r="B92" s="16" t="n"/>
      <c r="C92" s="16" t="n"/>
      <c r="D92" s="16" t="n"/>
      <c r="E92" s="16" t="n"/>
      <c r="F92" s="17" t="inlineStr">
        <is>
          <t>Suma de OBRAS PUBLICAS CANARIAS, S.L  OPC</t>
        </is>
      </c>
      <c r="G92" s="18">
        <f>SUM(G91:G91)</f>
        <v/>
      </c>
      <c r="H92" s="18">
        <f>SUM(H91:H91)</f>
        <v/>
      </c>
      <c r="I92" s="18">
        <f>SUM(I91:I91)</f>
        <v/>
      </c>
      <c r="J92" s="18">
        <f>SUM(J91:J91)</f>
        <v/>
      </c>
      <c r="K92" s="16" t="n"/>
      <c r="L92" s="16" t="n"/>
      <c r="M92" s="16" t="n"/>
      <c r="N92" s="16" t="n"/>
      <c r="O92" s="16" t="n"/>
      <c r="P92" s="16" t="n"/>
      <c r="Q92" s="16" t="n"/>
    </row>
    <row r="94">
      <c r="A94" s="7" t="inlineStr">
        <is>
          <t>PLAYAS DE JANDIA SA</t>
        </is>
      </c>
      <c r="B94" s="8" t="inlineStr">
        <is>
          <t>A58088691</t>
        </is>
      </c>
      <c r="C94" s="9" t="n"/>
      <c r="D94" s="9" t="n"/>
      <c r="E94" s="9" t="n"/>
      <c r="F94" s="9" t="n"/>
      <c r="G94" s="9" t="n"/>
      <c r="H94" s="9" t="n"/>
      <c r="I94" s="9" t="n"/>
      <c r="J94" s="9" t="n"/>
      <c r="K94" s="9" t="n"/>
      <c r="L94" s="9" t="n"/>
      <c r="M94" s="9" t="n"/>
      <c r="N94" s="9" t="n"/>
      <c r="O94" s="9" t="n"/>
      <c r="P94" s="9" t="n"/>
      <c r="Q94" s="9" t="n"/>
    </row>
    <row r="95">
      <c r="A95" s="10" t="inlineStr"/>
      <c r="B95" s="10" t="inlineStr"/>
      <c r="C95" s="10" t="inlineStr">
        <is>
          <t>250575</t>
        </is>
      </c>
      <c r="D95" s="11" t="n">
        <v>45899</v>
      </c>
      <c r="E95" s="10" t="inlineStr">
        <is>
          <t>Cobrada</t>
        </is>
      </c>
      <c r="F95" s="10" t="inlineStr">
        <is>
          <t>2 Cobrada</t>
        </is>
      </c>
      <c r="G95" s="12" t="n">
        <v>103272</v>
      </c>
      <c r="H95" s="12" t="n">
        <v>103272</v>
      </c>
      <c r="I95" s="12" t="n">
        <v>51636</v>
      </c>
      <c r="J95" s="12">
        <f>I95-H95</f>
        <v/>
      </c>
      <c r="K95" s="13" t="n">
        <v>2</v>
      </c>
      <c r="L95" s="11" t="n">
        <v>45925</v>
      </c>
      <c r="M95" s="11" t="n">
        <v>45975</v>
      </c>
      <c r="N95" s="12">
        <f>G95-MAX(H95,I95)</f>
        <v/>
      </c>
      <c r="O95" s="14" t="inlineStr">
        <is>
          <t>La columna dice justo el doble de lo que suman los cobros</t>
        </is>
      </c>
      <c r="P95" s="15" t="inlineStr"/>
      <c r="Q95" s="15" t="inlineStr"/>
    </row>
    <row r="96">
      <c r="A96" s="10" t="inlineStr"/>
      <c r="B96" s="10" t="inlineStr"/>
      <c r="C96" s="10" t="inlineStr">
        <is>
          <t>250615</t>
        </is>
      </c>
      <c r="D96" s="11" t="n">
        <v>45930</v>
      </c>
      <c r="E96" s="10" t="inlineStr">
        <is>
          <t>Cobrada</t>
        </is>
      </c>
      <c r="F96" s="10" t="inlineStr">
        <is>
          <t>2 Cobrada</t>
        </is>
      </c>
      <c r="G96" s="12" t="n">
        <v>65400</v>
      </c>
      <c r="H96" s="12" t="n">
        <v>65400</v>
      </c>
      <c r="I96" s="12" t="n">
        <v>32700</v>
      </c>
      <c r="J96" s="12">
        <f>I96-H96</f>
        <v/>
      </c>
      <c r="K96" s="13" t="n">
        <v>2</v>
      </c>
      <c r="L96" s="11" t="n">
        <v>45947</v>
      </c>
      <c r="M96" s="11" t="n">
        <v>45983</v>
      </c>
      <c r="N96" s="12">
        <f>G96-MAX(H96,I96)</f>
        <v/>
      </c>
      <c r="O96" s="14" t="inlineStr">
        <is>
          <t>La columna dice justo el doble de lo que suman los cobros</t>
        </is>
      </c>
      <c r="P96" s="15" t="inlineStr"/>
      <c r="Q96" s="15" t="inlineStr"/>
    </row>
    <row r="97">
      <c r="A97" s="10" t="inlineStr"/>
      <c r="B97" s="10" t="inlineStr"/>
      <c r="C97" s="10" t="inlineStr">
        <is>
          <t>250693</t>
        </is>
      </c>
      <c r="D97" s="11" t="n">
        <v>45961</v>
      </c>
      <c r="E97" s="10" t="inlineStr">
        <is>
          <t>Cobrada</t>
        </is>
      </c>
      <c r="F97" s="10" t="inlineStr">
        <is>
          <t>2 Cobrada</t>
        </is>
      </c>
      <c r="G97" s="12" t="n">
        <v>45381.6</v>
      </c>
      <c r="H97" s="12" t="n">
        <v>45381.6</v>
      </c>
      <c r="I97" s="12" t="n">
        <v>11345.4</v>
      </c>
      <c r="J97" s="12">
        <f>I97-H97</f>
        <v/>
      </c>
      <c r="K97" s="13" t="n">
        <v>1</v>
      </c>
      <c r="L97" s="11" t="n">
        <v>45987</v>
      </c>
      <c r="M97" s="11" t="n">
        <v>45987</v>
      </c>
      <c r="N97" s="12">
        <f>G97-MAX(H97,I97)</f>
        <v/>
      </c>
      <c r="O97" s="14" t="inlineStr">
        <is>
          <t>Faltan cobros por anotar, o la columna se quedo por encima</t>
        </is>
      </c>
      <c r="P97" s="15" t="inlineStr"/>
      <c r="Q97" s="15" t="inlineStr"/>
    </row>
    <row r="98">
      <c r="A98" s="10" t="inlineStr"/>
      <c r="B98" s="10" t="inlineStr"/>
      <c r="C98" s="10" t="inlineStr">
        <is>
          <t>250742</t>
        </is>
      </c>
      <c r="D98" s="11" t="n">
        <v>45989</v>
      </c>
      <c r="E98" s="10" t="inlineStr">
        <is>
          <t>Cobrada</t>
        </is>
      </c>
      <c r="F98" s="10" t="inlineStr">
        <is>
          <t>2 Cobrada</t>
        </is>
      </c>
      <c r="G98" s="12" t="n">
        <v>36060</v>
      </c>
      <c r="H98" s="12" t="n">
        <v>36060</v>
      </c>
      <c r="I98" s="12" t="n">
        <v>9015</v>
      </c>
      <c r="J98" s="12">
        <f>I98-H98</f>
        <v/>
      </c>
      <c r="K98" s="13" t="n">
        <v>1</v>
      </c>
      <c r="L98" s="11" t="n">
        <v>46013</v>
      </c>
      <c r="M98" s="11" t="n">
        <v>46013</v>
      </c>
      <c r="N98" s="12">
        <f>G98-MAX(H98,I98)</f>
        <v/>
      </c>
      <c r="O98" s="14" t="inlineStr">
        <is>
          <t>Faltan cobros por anotar, o la columna se quedo por encima</t>
        </is>
      </c>
      <c r="P98" s="15" t="inlineStr"/>
      <c r="Q98" s="15" t="inlineStr"/>
    </row>
    <row r="99">
      <c r="A99" s="16" t="inlineStr"/>
      <c r="B99" s="16" t="n"/>
      <c r="C99" s="16" t="n"/>
      <c r="D99" s="16" t="n"/>
      <c r="E99" s="16" t="n"/>
      <c r="F99" s="17" t="inlineStr">
        <is>
          <t>Suma de PLAYAS DE JANDIA SA</t>
        </is>
      </c>
      <c r="G99" s="18">
        <f>SUM(G95:G98)</f>
        <v/>
      </c>
      <c r="H99" s="18">
        <f>SUM(H95:H98)</f>
        <v/>
      </c>
      <c r="I99" s="18">
        <f>SUM(I95:I98)</f>
        <v/>
      </c>
      <c r="J99" s="18">
        <f>SUM(J95:J98)</f>
        <v/>
      </c>
      <c r="K99" s="16" t="n"/>
      <c r="L99" s="16" t="n"/>
      <c r="M99" s="16" t="n"/>
      <c r="N99" s="16" t="n"/>
      <c r="O99" s="16" t="n"/>
      <c r="P99" s="16" t="n"/>
      <c r="Q99" s="16" t="n"/>
    </row>
    <row r="101">
      <c r="A101" s="7" t="inlineStr">
        <is>
          <t>PREFABRICADOS MARTIN BRITO S.L</t>
        </is>
      </c>
      <c r="B101" s="8" t="inlineStr">
        <is>
          <t>B35431303</t>
        </is>
      </c>
      <c r="C101" s="9" t="n"/>
      <c r="D101" s="9" t="n"/>
      <c r="E101" s="9" t="n"/>
      <c r="F101" s="9" t="n"/>
      <c r="G101" s="9" t="n"/>
      <c r="H101" s="9" t="n"/>
      <c r="I101" s="9" t="n"/>
      <c r="J101" s="9" t="n"/>
      <c r="K101" s="9" t="n"/>
      <c r="L101" s="9" t="n"/>
      <c r="M101" s="9" t="n"/>
      <c r="N101" s="9" t="n"/>
      <c r="O101" s="9" t="n"/>
      <c r="P101" s="9" t="n"/>
      <c r="Q101" s="9" t="n"/>
    </row>
    <row r="102">
      <c r="A102" s="10" t="inlineStr"/>
      <c r="B102" s="10" t="inlineStr"/>
      <c r="C102" s="10" t="inlineStr">
        <is>
          <t>3452</t>
        </is>
      </c>
      <c r="D102" s="11" t="n">
        <v>42978</v>
      </c>
      <c r="E102" s="10" t="inlineStr">
        <is>
          <t>Cobrada</t>
        </is>
      </c>
      <c r="F102" s="10" t="inlineStr">
        <is>
          <t>2 Cobrada</t>
        </is>
      </c>
      <c r="G102" s="12" t="n">
        <v>767.97</v>
      </c>
      <c r="H102" s="12" t="n">
        <v>767.97</v>
      </c>
      <c r="I102" s="12" t="n">
        <v>469.05</v>
      </c>
      <c r="J102" s="12">
        <f>I102-H102</f>
        <v/>
      </c>
      <c r="K102" s="13" t="n">
        <v>1</v>
      </c>
      <c r="L102" s="11" t="n">
        <v>42978</v>
      </c>
      <c r="M102" s="11" t="n">
        <v>42978</v>
      </c>
      <c r="N102" s="12">
        <f>G102-MAX(H102,I102)</f>
        <v/>
      </c>
      <c r="O102" s="14" t="inlineStr">
        <is>
          <t>Faltan cobros por anotar, o la columna se quedo por encima</t>
        </is>
      </c>
      <c r="P102" s="15" t="inlineStr"/>
      <c r="Q102" s="15" t="inlineStr"/>
    </row>
    <row r="103">
      <c r="A103" s="16" t="inlineStr"/>
      <c r="B103" s="16" t="n"/>
      <c r="C103" s="16" t="n"/>
      <c r="D103" s="16" t="n"/>
      <c r="E103" s="16" t="n"/>
      <c r="F103" s="17" t="inlineStr">
        <is>
          <t>Suma de PREFABRICADOS MARTIN BRITO S.L</t>
        </is>
      </c>
      <c r="G103" s="18">
        <f>SUM(G102:G102)</f>
        <v/>
      </c>
      <c r="H103" s="18">
        <f>SUM(H102:H102)</f>
        <v/>
      </c>
      <c r="I103" s="18">
        <f>SUM(I102:I102)</f>
        <v/>
      </c>
      <c r="J103" s="18">
        <f>SUM(J102:J102)</f>
        <v/>
      </c>
      <c r="K103" s="16" t="n"/>
      <c r="L103" s="16" t="n"/>
      <c r="M103" s="16" t="n"/>
      <c r="N103" s="16" t="n"/>
      <c r="O103" s="16" t="n"/>
      <c r="P103" s="16" t="n"/>
      <c r="Q103" s="16" t="n"/>
    </row>
    <row r="105">
      <c r="A105" s="7" t="inlineStr">
        <is>
          <t>RANCHO JANDIA, S.L.</t>
        </is>
      </c>
      <c r="B105" s="8" t="inlineStr">
        <is>
          <t>B76172873</t>
        </is>
      </c>
      <c r="C105" s="9" t="n"/>
      <c r="D105" s="9" t="n"/>
      <c r="E105" s="9" t="n"/>
      <c r="F105" s="9" t="n"/>
      <c r="G105" s="9" t="n"/>
      <c r="H105" s="9" t="n"/>
      <c r="I105" s="9" t="n"/>
      <c r="J105" s="9" t="n"/>
      <c r="K105" s="9" t="n"/>
      <c r="L105" s="9" t="n"/>
      <c r="M105" s="9" t="n"/>
      <c r="N105" s="9" t="n"/>
      <c r="O105" s="9" t="n"/>
      <c r="P105" s="9" t="n"/>
      <c r="Q105" s="9" t="n"/>
    </row>
    <row r="106">
      <c r="A106" s="10" t="inlineStr"/>
      <c r="B106" s="10" t="inlineStr"/>
      <c r="C106" s="10" t="inlineStr">
        <is>
          <t>200049</t>
        </is>
      </c>
      <c r="D106" s="11" t="n">
        <v>43861</v>
      </c>
      <c r="E106" s="10" t="inlineStr">
        <is>
          <t>Cobrada</t>
        </is>
      </c>
      <c r="F106" s="10" t="inlineStr">
        <is>
          <t>2 Cobrada</t>
        </is>
      </c>
      <c r="G106" s="12" t="n">
        <v>836.88</v>
      </c>
      <c r="H106" s="12" t="n">
        <v>836.88</v>
      </c>
      <c r="I106" s="12" t="n">
        <v>486.88</v>
      </c>
      <c r="J106" s="12">
        <f>I106-H106</f>
        <v/>
      </c>
      <c r="K106" s="13" t="n">
        <v>2</v>
      </c>
      <c r="L106" s="11" t="n">
        <v>44043</v>
      </c>
      <c r="M106" s="11" t="n">
        <v>44126</v>
      </c>
      <c r="N106" s="12">
        <f>G106-MAX(H106,I106)</f>
        <v/>
      </c>
      <c r="O106" s="14" t="inlineStr">
        <is>
          <t>Faltan cobros por anotar, o la columna se quedo por encima</t>
        </is>
      </c>
      <c r="P106" s="15" t="inlineStr"/>
      <c r="Q106" s="15" t="inlineStr"/>
    </row>
    <row r="107">
      <c r="A107" s="16" t="inlineStr"/>
      <c r="B107" s="16" t="n"/>
      <c r="C107" s="16" t="n"/>
      <c r="D107" s="16" t="n"/>
      <c r="E107" s="16" t="n"/>
      <c r="F107" s="17" t="inlineStr">
        <is>
          <t>Suma de RANCHO JANDIA, S.L.</t>
        </is>
      </c>
      <c r="G107" s="18">
        <f>SUM(G106:G106)</f>
        <v/>
      </c>
      <c r="H107" s="18">
        <f>SUM(H106:H106)</f>
        <v/>
      </c>
      <c r="I107" s="18">
        <f>SUM(I106:I106)</f>
        <v/>
      </c>
      <c r="J107" s="18">
        <f>SUM(J106:J106)</f>
        <v/>
      </c>
      <c r="K107" s="16" t="n"/>
      <c r="L107" s="16" t="n"/>
      <c r="M107" s="16" t="n"/>
      <c r="N107" s="16" t="n"/>
      <c r="O107" s="16" t="n"/>
      <c r="P107" s="16" t="n"/>
      <c r="Q107" s="16" t="n"/>
    </row>
    <row r="109">
      <c r="A109" s="7" t="inlineStr">
        <is>
          <t>RODRIGUEZ LOPEZ ALTAVISTA, S.L.</t>
        </is>
      </c>
      <c r="B109" s="8" t="inlineStr">
        <is>
          <t>B35771807</t>
        </is>
      </c>
      <c r="C109" s="9" t="n"/>
      <c r="D109" s="9" t="n"/>
      <c r="E109" s="9" t="n"/>
      <c r="F109" s="9" t="n"/>
      <c r="G109" s="9" t="n"/>
      <c r="H109" s="9" t="n"/>
      <c r="I109" s="9" t="n"/>
      <c r="J109" s="9" t="n"/>
      <c r="K109" s="9" t="n"/>
      <c r="L109" s="9" t="n"/>
      <c r="M109" s="9" t="n"/>
      <c r="N109" s="9" t="n"/>
      <c r="O109" s="9" t="n"/>
      <c r="P109" s="9" t="n"/>
      <c r="Q109" s="9" t="n"/>
    </row>
    <row r="110">
      <c r="A110" s="10" t="inlineStr"/>
      <c r="B110" s="10" t="inlineStr"/>
      <c r="C110" s="10" t="inlineStr">
        <is>
          <t>4311</t>
        </is>
      </c>
      <c r="D110" s="11" t="n">
        <v>43312</v>
      </c>
      <c r="E110" s="10" t="inlineStr">
        <is>
          <t>Cobrada</t>
        </is>
      </c>
      <c r="F110" s="10" t="inlineStr">
        <is>
          <t>2 Cobrada</t>
        </is>
      </c>
      <c r="G110" s="12" t="n">
        <v>1680</v>
      </c>
      <c r="H110" s="12" t="n">
        <v>1680</v>
      </c>
      <c r="I110" s="12" t="n">
        <v>900</v>
      </c>
      <c r="J110" s="12">
        <f>I110-H110</f>
        <v/>
      </c>
      <c r="K110" s="13" t="n">
        <v>1</v>
      </c>
      <c r="L110" s="11" t="n">
        <v>43322</v>
      </c>
      <c r="M110" s="11" t="n">
        <v>43322</v>
      </c>
      <c r="N110" s="12">
        <f>G110-MAX(H110,I110)</f>
        <v/>
      </c>
      <c r="O110" s="14" t="inlineStr">
        <is>
          <t>Faltan cobros por anotar, o la columna se quedo por encima</t>
        </is>
      </c>
      <c r="P110" s="15" t="inlineStr"/>
      <c r="Q110" s="15" t="inlineStr"/>
    </row>
    <row r="111">
      <c r="A111" s="10" t="inlineStr"/>
      <c r="B111" s="10" t="inlineStr"/>
      <c r="C111" s="10" t="inlineStr">
        <is>
          <t>230861</t>
        </is>
      </c>
      <c r="D111" s="11" t="n">
        <v>45260</v>
      </c>
      <c r="E111" s="10" t="inlineStr">
        <is>
          <t>Cobrada</t>
        </is>
      </c>
      <c r="F111" s="10" t="inlineStr">
        <is>
          <t>2 Cobrada</t>
        </is>
      </c>
      <c r="G111" s="12" t="n">
        <v>210</v>
      </c>
      <c r="H111" s="12" t="n">
        <v>210</v>
      </c>
      <c r="I111" s="12" t="n">
        <v>208.6</v>
      </c>
      <c r="J111" s="12">
        <f>I111-H111</f>
        <v/>
      </c>
      <c r="K111" s="13" t="n">
        <v>1</v>
      </c>
      <c r="L111" s="11" t="n">
        <v>45273</v>
      </c>
      <c r="M111" s="11" t="n">
        <v>45273</v>
      </c>
      <c r="N111" s="12">
        <f>G111-MAX(H111,I111)</f>
        <v/>
      </c>
      <c r="O111" s="14" t="inlineStr">
        <is>
          <t>Faltan cobros por anotar, o la columna se quedo por encima</t>
        </is>
      </c>
      <c r="P111" s="15" t="inlineStr"/>
      <c r="Q111" s="15" t="inlineStr"/>
    </row>
    <row r="112">
      <c r="A112" s="16" t="inlineStr"/>
      <c r="B112" s="16" t="n"/>
      <c r="C112" s="16" t="n"/>
      <c r="D112" s="16" t="n"/>
      <c r="E112" s="16" t="n"/>
      <c r="F112" s="17" t="inlineStr">
        <is>
          <t>Suma de RODRIGUEZ LOPEZ ALTAVISTA, S.L.</t>
        </is>
      </c>
      <c r="G112" s="18">
        <f>SUM(G110:G111)</f>
        <v/>
      </c>
      <c r="H112" s="18">
        <f>SUM(H110:H111)</f>
        <v/>
      </c>
      <c r="I112" s="18">
        <f>SUM(I110:I111)</f>
        <v/>
      </c>
      <c r="J112" s="18">
        <f>SUM(J110:J111)</f>
        <v/>
      </c>
      <c r="K112" s="16" t="n"/>
      <c r="L112" s="16" t="n"/>
      <c r="M112" s="16" t="n"/>
      <c r="N112" s="16" t="n"/>
      <c r="O112" s="16" t="n"/>
      <c r="P112" s="16" t="n"/>
      <c r="Q112" s="16" t="n"/>
    </row>
    <row r="114">
      <c r="A114" s="7" t="inlineStr">
        <is>
          <t>SOLYMAR BEACH</t>
        </is>
      </c>
      <c r="B114" s="8" t="inlineStr">
        <is>
          <t>Y1350944F</t>
        </is>
      </c>
      <c r="C114" s="9" t="n"/>
      <c r="D114" s="9" t="n"/>
      <c r="E114" s="9" t="n"/>
      <c r="F114" s="9" t="n"/>
      <c r="G114" s="9" t="n"/>
      <c r="H114" s="9" t="n"/>
      <c r="I114" s="9" t="n"/>
      <c r="J114" s="9" t="n"/>
      <c r="K114" s="9" t="n"/>
      <c r="L114" s="9" t="n"/>
      <c r="M114" s="9" t="n"/>
      <c r="N114" s="9" t="n"/>
      <c r="O114" s="9" t="n"/>
      <c r="P114" s="9" t="n"/>
      <c r="Q114" s="9" t="n"/>
    </row>
    <row r="115">
      <c r="A115" s="10" t="inlineStr"/>
      <c r="B115" s="10" t="inlineStr"/>
      <c r="C115" s="10" t="inlineStr">
        <is>
          <t>260431</t>
        </is>
      </c>
      <c r="D115" s="11" t="n">
        <v>46265</v>
      </c>
      <c r="E115" s="10" t="inlineStr">
        <is>
          <t>Cobrada</t>
        </is>
      </c>
      <c r="F115" s="10" t="inlineStr">
        <is>
          <t>2 Cobrada</t>
        </is>
      </c>
      <c r="G115" s="12" t="n">
        <v>1080</v>
      </c>
      <c r="H115" s="12" t="n">
        <v>2160</v>
      </c>
      <c r="I115" s="12" t="n">
        <v>1080</v>
      </c>
      <c r="J115" s="12">
        <f>I115-H115</f>
        <v/>
      </c>
      <c r="K115" s="13" t="n">
        <v>1</v>
      </c>
      <c r="L115" s="11" t="n">
        <v>46269</v>
      </c>
      <c r="M115" s="11" t="n">
        <v>46269</v>
      </c>
      <c r="N115" s="12">
        <f>G115-MAX(H115,I115)</f>
        <v/>
      </c>
      <c r="O115" s="14" t="inlineStr">
        <is>
          <t>La columna pasa del total de la factura: parece contado dos veces</t>
        </is>
      </c>
      <c r="P115" s="15" t="inlineStr"/>
      <c r="Q115" s="15" t="inlineStr"/>
    </row>
    <row r="116">
      <c r="A116" s="16" t="inlineStr"/>
      <c r="B116" s="16" t="n"/>
      <c r="C116" s="16" t="n"/>
      <c r="D116" s="16" t="n"/>
      <c r="E116" s="16" t="n"/>
      <c r="F116" s="17" t="inlineStr">
        <is>
          <t>Suma de SOLYMAR BEACH</t>
        </is>
      </c>
      <c r="G116" s="18">
        <f>SUM(G115:G115)</f>
        <v/>
      </c>
      <c r="H116" s="18">
        <f>SUM(H115:H115)</f>
        <v/>
      </c>
      <c r="I116" s="18">
        <f>SUM(I115:I115)</f>
        <v/>
      </c>
      <c r="J116" s="18">
        <f>SUM(J115:J115)</f>
        <v/>
      </c>
      <c r="K116" s="16" t="n"/>
      <c r="L116" s="16" t="n"/>
      <c r="M116" s="16" t="n"/>
      <c r="N116" s="16" t="n"/>
      <c r="O116" s="16" t="n"/>
      <c r="P116" s="16" t="n"/>
      <c r="Q116" s="16" t="n"/>
    </row>
    <row r="118">
      <c r="A118" s="7" t="inlineStr">
        <is>
          <t>STEFAN  SCHOLZ.</t>
        </is>
      </c>
      <c r="B118" s="8" t="inlineStr"/>
      <c r="C118" s="9" t="n"/>
      <c r="D118" s="9" t="n"/>
      <c r="E118" s="9" t="n"/>
      <c r="F118" s="9" t="n"/>
      <c r="G118" s="9" t="n"/>
      <c r="H118" s="9" t="n"/>
      <c r="I118" s="9" t="n"/>
      <c r="J118" s="9" t="n"/>
      <c r="K118" s="9" t="n"/>
      <c r="L118" s="9" t="n"/>
      <c r="M118" s="9" t="n"/>
      <c r="N118" s="9" t="n"/>
      <c r="O118" s="9" t="n"/>
      <c r="P118" s="9" t="n"/>
      <c r="Q118" s="9" t="n"/>
    </row>
    <row r="119">
      <c r="A119" s="10" t="inlineStr"/>
      <c r="B119" s="10" t="inlineStr"/>
      <c r="C119" s="10" t="inlineStr">
        <is>
          <t>230174</t>
        </is>
      </c>
      <c r="D119" s="11" t="n">
        <v>45019</v>
      </c>
      <c r="E119" s="10" t="inlineStr">
        <is>
          <t>Cobrada</t>
        </is>
      </c>
      <c r="F119" s="10" t="inlineStr">
        <is>
          <t>0 Pendiente</t>
        </is>
      </c>
      <c r="G119" s="12" t="n">
        <v>139.05</v>
      </c>
      <c r="H119" s="12" t="n">
        <v>0</v>
      </c>
      <c r="I119" s="12" t="n">
        <v>139.05</v>
      </c>
      <c r="J119" s="12">
        <f>I119-H119</f>
        <v/>
      </c>
      <c r="K119" s="13" t="n">
        <v>2</v>
      </c>
      <c r="L119" s="11" t="n">
        <v>44981</v>
      </c>
      <c r="M119" s="11" t="n">
        <v>44996</v>
      </c>
      <c r="N119" s="12">
        <f>G119-MAX(H119,I119)</f>
        <v/>
      </c>
      <c r="O119" s="14" t="inlineStr">
        <is>
          <t>La columna esta a cero pero si hay cobros anotados</t>
        </is>
      </c>
      <c r="P119" s="15" t="inlineStr"/>
      <c r="Q119" s="15" t="inlineStr"/>
    </row>
    <row r="120">
      <c r="A120" s="16" t="inlineStr"/>
      <c r="B120" s="16" t="n"/>
      <c r="C120" s="16" t="n"/>
      <c r="D120" s="16" t="n"/>
      <c r="E120" s="16" t="n"/>
      <c r="F120" s="17" t="inlineStr">
        <is>
          <t>Suma de STEFAN  SCHOLZ.</t>
        </is>
      </c>
      <c r="G120" s="18">
        <f>SUM(G119:G119)</f>
        <v/>
      </c>
      <c r="H120" s="18">
        <f>SUM(H119:H119)</f>
        <v/>
      </c>
      <c r="I120" s="18">
        <f>SUM(I119:I119)</f>
        <v/>
      </c>
      <c r="J120" s="18">
        <f>SUM(J119:J119)</f>
        <v/>
      </c>
      <c r="K120" s="16" t="n"/>
      <c r="L120" s="16" t="n"/>
      <c r="M120" s="16" t="n"/>
      <c r="N120" s="16" t="n"/>
      <c r="O120" s="16" t="n"/>
      <c r="P120" s="16" t="n"/>
      <c r="Q120" s="16" t="n"/>
    </row>
    <row r="122">
      <c r="A122" s="7" t="inlineStr">
        <is>
          <t>ZERO DID, S.L</t>
        </is>
      </c>
      <c r="B122" s="8" t="inlineStr">
        <is>
          <t>B76346592</t>
        </is>
      </c>
      <c r="C122" s="9" t="n"/>
      <c r="D122" s="9" t="n"/>
      <c r="E122" s="9" t="n"/>
      <c r="F122" s="9" t="n"/>
      <c r="G122" s="9" t="n"/>
      <c r="H122" s="9" t="n"/>
      <c r="I122" s="9" t="n"/>
      <c r="J122" s="9" t="n"/>
      <c r="K122" s="9" t="n"/>
      <c r="L122" s="9" t="n"/>
      <c r="M122" s="9" t="n"/>
      <c r="N122" s="9" t="n"/>
      <c r="O122" s="9" t="n"/>
      <c r="P122" s="9" t="n"/>
      <c r="Q122" s="9" t="n"/>
    </row>
    <row r="123">
      <c r="A123" s="10" t="inlineStr"/>
      <c r="B123" s="10" t="inlineStr"/>
      <c r="C123" s="10" t="inlineStr">
        <is>
          <t>230809</t>
        </is>
      </c>
      <c r="D123" s="11" t="n">
        <v>45251</v>
      </c>
      <c r="E123" s="10" t="inlineStr">
        <is>
          <t>Cobrada</t>
        </is>
      </c>
      <c r="F123" s="10" t="inlineStr">
        <is>
          <t>2 Cobrada</t>
        </is>
      </c>
      <c r="G123" s="12" t="n">
        <v>257.5</v>
      </c>
      <c r="H123" s="12" t="n">
        <v>257.5</v>
      </c>
      <c r="I123" s="12" t="n">
        <v>128.75</v>
      </c>
      <c r="J123" s="12">
        <f>I123-H123</f>
        <v/>
      </c>
      <c r="K123" s="13" t="n">
        <v>1</v>
      </c>
      <c r="L123" s="11" t="n">
        <v>45251</v>
      </c>
      <c r="M123" s="11" t="n">
        <v>45251</v>
      </c>
      <c r="N123" s="12">
        <f>G123-MAX(H123,I123)</f>
        <v/>
      </c>
      <c r="O123" s="14" t="inlineStr">
        <is>
          <t>La columna dice justo el doble de lo que suman los cobros</t>
        </is>
      </c>
      <c r="P123" s="15" t="inlineStr"/>
      <c r="Q123" s="15" t="inlineStr"/>
    </row>
    <row r="124">
      <c r="A124" s="16" t="inlineStr"/>
      <c r="B124" s="16" t="n"/>
      <c r="C124" s="16" t="n"/>
      <c r="D124" s="16" t="n"/>
      <c r="E124" s="16" t="n"/>
      <c r="F124" s="17" t="inlineStr">
        <is>
          <t>Suma de ZERO DID, S.L</t>
        </is>
      </c>
      <c r="G124" s="18">
        <f>SUM(G123:G123)</f>
        <v/>
      </c>
      <c r="H124" s="18">
        <f>SUM(H123:H123)</f>
        <v/>
      </c>
      <c r="I124" s="18">
        <f>SUM(I123:I123)</f>
        <v/>
      </c>
      <c r="J124" s="18">
        <f>SUM(J123:J123)</f>
        <v/>
      </c>
      <c r="K124" s="16" t="n"/>
      <c r="L124" s="16" t="n"/>
      <c r="M124" s="16" t="n"/>
      <c r="N124" s="16" t="n"/>
      <c r="O124" s="16" t="n"/>
      <c r="P124" s="16" t="n"/>
      <c r="Q124" s="16" t="n"/>
    </row>
    <row r="126">
      <c r="A126" s="19" t="n"/>
      <c r="B126" s="19" t="n"/>
      <c r="C126" s="19" t="n"/>
      <c r="D126" s="19" t="n"/>
      <c r="E126" s="19" t="n"/>
      <c r="F126" s="20" t="inlineStr">
        <is>
          <t>TOTAL de las 36 facturas</t>
        </is>
      </c>
      <c r="G126" s="21">
        <f>SUMIF($C$9:$C$124,"&lt;&gt;",G9:G124)</f>
        <v/>
      </c>
      <c r="H126" s="21">
        <f>SUMIF($C$9:$C$124,"&lt;&gt;",H9:H124)</f>
        <v/>
      </c>
      <c r="I126" s="21">
        <f>SUMIF($C$9:$C$124,"&lt;&gt;",I9:I124)</f>
        <v/>
      </c>
      <c r="J126" s="21">
        <f>I126-H126</f>
        <v/>
      </c>
      <c r="K126" s="19" t="n"/>
      <c r="L126" s="19" t="n"/>
      <c r="M126" s="19" t="n"/>
      <c r="N126" s="19" t="n"/>
      <c r="O126" s="19" t="n"/>
      <c r="P126" s="19" t="n"/>
      <c r="Q126" s="19" t="n"/>
    </row>
  </sheetData>
  <autoFilter ref="A8:Q124"/>
  <mergeCells count="2">
    <mergeCell ref="A6:P6"/>
    <mergeCell ref="A5:P5"/>
  </mergeCells>
  <dataValidations count="1">
    <dataValidation sqref="P9:P124" showDropDown="0" showInputMessage="0" showErrorMessage="0" allowBlank="1" errorTitle="Opcion no valida" error="Elige una de las opciones de la lista." type="list">
      <formula1>"La casilla de la ficha,Los cobros anotados,Hay cobros sin anotar,Es confirming o factoring,Otra cosa - ver notas"</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32"/>
  <sheetViews>
    <sheetView showGridLines="0" workbookViewId="0">
      <pane ySplit="4" topLeftCell="A5" activePane="bottomLeft" state="frozen"/>
      <selection pane="bottomLeft" activeCell="A1" sqref="A1"/>
    </sheetView>
  </sheetViews>
  <sheetFormatPr baseColWidth="8" defaultRowHeight="15"/>
  <cols>
    <col width="46" customWidth="1" min="1" max="1"/>
    <col width="11" customWidth="1" min="2" max="2"/>
    <col width="18" customWidth="1" min="3" max="3"/>
    <col width="20" customWidth="1" min="4" max="4"/>
    <col width="18" customWidth="1" min="5" max="5"/>
    <col width="16" customWidth="1" min="6" max="6"/>
  </cols>
  <sheetData>
    <row r="1">
      <c r="A1" s="22" t="inlineStr">
        <is>
          <t>Resumen por cliente</t>
        </is>
      </c>
    </row>
    <row r="2">
      <c r="A2" s="23" t="inlineStr">
        <is>
          <t>Cuantas facturas descuadran en cada cliente y por cuanto. Se calcula solo desde la otra hoja.</t>
        </is>
      </c>
    </row>
    <row r="4" ht="30" customHeight="1">
      <c r="A4" s="6" t="inlineStr">
        <is>
          <t>Cliente</t>
        </is>
      </c>
      <c r="B4" s="6" t="inlineStr">
        <is>
          <t>Facturas</t>
        </is>
      </c>
      <c r="C4" s="6" t="inlineStr">
        <is>
          <t>Total facturado</t>
        </is>
      </c>
      <c r="D4" s="6" t="inlineStr">
        <is>
          <t>Importe cobrado (ficha)</t>
        </is>
      </c>
      <c r="E4" s="6" t="inlineStr">
        <is>
          <t>Cobros anotados</t>
        </is>
      </c>
      <c r="F4" s="6" t="inlineStr">
        <is>
          <t>Diferencia</t>
        </is>
      </c>
    </row>
    <row r="5">
      <c r="A5" s="10" t="inlineStr">
        <is>
          <t>ALEGRANZA.S-L</t>
        </is>
      </c>
      <c r="B5" s="24">
        <f>COUNTA('Descuadres por cliente'!$C$10:$C$10)</f>
        <v/>
      </c>
      <c r="C5" s="25">
        <f>SUM('Descuadres por cliente'!$G$10:$G$10)</f>
        <v/>
      </c>
      <c r="D5" s="25">
        <f>SUM('Descuadres por cliente'!$H$10:$H$10)</f>
        <v/>
      </c>
      <c r="E5" s="25">
        <f>SUM('Descuadres por cliente'!$I$10:$I$10)</f>
        <v/>
      </c>
      <c r="F5" s="25">
        <f>E5-D5</f>
        <v/>
      </c>
    </row>
    <row r="6">
      <c r="A6" s="10" t="inlineStr">
        <is>
          <t>Andreas Wenger,</t>
        </is>
      </c>
      <c r="B6" s="24">
        <f>COUNTA('Descuadres por cliente'!$C$14:$C$14)</f>
        <v/>
      </c>
      <c r="C6" s="25">
        <f>SUM('Descuadres por cliente'!$G$14:$G$14)</f>
        <v/>
      </c>
      <c r="D6" s="25">
        <f>SUM('Descuadres por cliente'!$H$14:$H$14)</f>
        <v/>
      </c>
      <c r="E6" s="25">
        <f>SUM('Descuadres por cliente'!$I$14:$I$14)</f>
        <v/>
      </c>
      <c r="F6" s="25">
        <f>E6-D6</f>
        <v/>
      </c>
    </row>
    <row r="7">
      <c r="A7" s="10" t="inlineStr">
        <is>
          <t>ANTIGUACONTROL SOCIEDAD LIMITADA (ALISIOS)  CONTROL MAX</t>
        </is>
      </c>
      <c r="B7" s="24">
        <f>COUNTA('Descuadres por cliente'!$C$18:$C$18)</f>
        <v/>
      </c>
      <c r="C7" s="25">
        <f>SUM('Descuadres por cliente'!$G$18:$G$18)</f>
        <v/>
      </c>
      <c r="D7" s="25">
        <f>SUM('Descuadres por cliente'!$H$18:$H$18)</f>
        <v/>
      </c>
      <c r="E7" s="25">
        <f>SUM('Descuadres por cliente'!$I$18:$I$18)</f>
        <v/>
      </c>
      <c r="F7" s="25">
        <f>E7-D7</f>
        <v/>
      </c>
    </row>
    <row r="8">
      <c r="A8" s="10" t="inlineStr">
        <is>
          <t>BLUE DOLPHIN HOTEL OPERATING AND ADMINISTRATION FUERTEVENTURA, S.L.</t>
        </is>
      </c>
      <c r="B8" s="24">
        <f>COUNTA('Descuadres por cliente'!$C$22:$C$23)</f>
        <v/>
      </c>
      <c r="C8" s="25">
        <f>SUM('Descuadres por cliente'!$G$22:$G$23)</f>
        <v/>
      </c>
      <c r="D8" s="25">
        <f>SUM('Descuadres por cliente'!$H$22:$H$23)</f>
        <v/>
      </c>
      <c r="E8" s="25">
        <f>SUM('Descuadres por cliente'!$I$22:$I$23)</f>
        <v/>
      </c>
      <c r="F8" s="25">
        <f>E8-D8</f>
        <v/>
      </c>
    </row>
    <row r="9">
      <c r="A9" s="10" t="inlineStr">
        <is>
          <t>CANARAGUA CONCESIONES, S.A.U</t>
        </is>
      </c>
      <c r="B9" s="24">
        <f>COUNTA('Descuadres por cliente'!$C$27:$C$29)</f>
        <v/>
      </c>
      <c r="C9" s="25">
        <f>SUM('Descuadres por cliente'!$G$27:$G$29)</f>
        <v/>
      </c>
      <c r="D9" s="25">
        <f>SUM('Descuadres por cliente'!$H$27:$H$29)</f>
        <v/>
      </c>
      <c r="E9" s="25">
        <f>SUM('Descuadres por cliente'!$I$27:$I$29)</f>
        <v/>
      </c>
      <c r="F9" s="25">
        <f>E9-D9</f>
        <v/>
      </c>
    </row>
    <row r="10">
      <c r="A10" s="10" t="inlineStr">
        <is>
          <t>CLOE LORENZO S.L</t>
        </is>
      </c>
      <c r="B10" s="24">
        <f>COUNTA('Descuadres por cliente'!$C$33:$C$33)</f>
        <v/>
      </c>
      <c r="C10" s="25">
        <f>SUM('Descuadres por cliente'!$G$33:$G$33)</f>
        <v/>
      </c>
      <c r="D10" s="25">
        <f>SUM('Descuadres por cliente'!$H$33:$H$33)</f>
        <v/>
      </c>
      <c r="E10" s="25">
        <f>SUM('Descuadres por cliente'!$I$33:$I$33)</f>
        <v/>
      </c>
      <c r="F10" s="25">
        <f>E10-D10</f>
        <v/>
      </c>
    </row>
    <row r="11">
      <c r="A11" s="10" t="inlineStr">
        <is>
          <t>CLUB MISTRAL FUERTEVENTURA, S.L.</t>
        </is>
      </c>
      <c r="B11" s="24">
        <f>COUNTA('Descuadres por cliente'!$C$37:$C$37)</f>
        <v/>
      </c>
      <c r="C11" s="25">
        <f>SUM('Descuadres por cliente'!$G$37:$G$37)</f>
        <v/>
      </c>
      <c r="D11" s="25">
        <f>SUM('Descuadres por cliente'!$H$37:$H$37)</f>
        <v/>
      </c>
      <c r="E11" s="25">
        <f>SUM('Descuadres por cliente'!$I$37:$I$37)</f>
        <v/>
      </c>
      <c r="F11" s="25">
        <f>E11-D11</f>
        <v/>
      </c>
    </row>
    <row r="12">
      <c r="A12" s="10" t="inlineStr">
        <is>
          <t>ECOLOGIA Y CONSTRUCCION FESUMAR SL</t>
        </is>
      </c>
      <c r="B12" s="24">
        <f>COUNTA('Descuadres por cliente'!$C$41:$C$41)</f>
        <v/>
      </c>
      <c r="C12" s="25">
        <f>SUM('Descuadres por cliente'!$G$41:$G$41)</f>
        <v/>
      </c>
      <c r="D12" s="25">
        <f>SUM('Descuadres por cliente'!$H$41:$H$41)</f>
        <v/>
      </c>
      <c r="E12" s="25">
        <f>SUM('Descuadres por cliente'!$I$41:$I$41)</f>
        <v/>
      </c>
      <c r="F12" s="25">
        <f>E12-D12</f>
        <v/>
      </c>
    </row>
    <row r="13">
      <c r="A13" s="10" t="inlineStr">
        <is>
          <t>ECOTRANS 2000, S.L.</t>
        </is>
      </c>
      <c r="B13" s="24">
        <f>COUNTA('Descuadres por cliente'!$C$45:$C$45)</f>
        <v/>
      </c>
      <c r="C13" s="25">
        <f>SUM('Descuadres por cliente'!$G$45:$G$45)</f>
        <v/>
      </c>
      <c r="D13" s="25">
        <f>SUM('Descuadres por cliente'!$H$45:$H$45)</f>
        <v/>
      </c>
      <c r="E13" s="25">
        <f>SUM('Descuadres por cliente'!$I$45:$I$45)</f>
        <v/>
      </c>
      <c r="F13" s="25">
        <f>E13-D13</f>
        <v/>
      </c>
    </row>
    <row r="14">
      <c r="A14" s="10" t="inlineStr">
        <is>
          <t>EL CAMILO COSILN, S.L</t>
        </is>
      </c>
      <c r="B14" s="24">
        <f>COUNTA('Descuadres por cliente'!$C$49:$C$49)</f>
        <v/>
      </c>
      <c r="C14" s="25">
        <f>SUM('Descuadres por cliente'!$G$49:$G$49)</f>
        <v/>
      </c>
      <c r="D14" s="25">
        <f>SUM('Descuadres por cliente'!$H$49:$H$49)</f>
        <v/>
      </c>
      <c r="E14" s="25">
        <f>SUM('Descuadres por cliente'!$I$49:$I$49)</f>
        <v/>
      </c>
      <c r="F14" s="25">
        <f>E14-D14</f>
        <v/>
      </c>
    </row>
    <row r="15">
      <c r="A15" s="10" t="inlineStr">
        <is>
          <t>ELITEPLAC, S.L.U</t>
        </is>
      </c>
      <c r="B15" s="24">
        <f>COUNTA('Descuadres por cliente'!$C$53:$C$53)</f>
        <v/>
      </c>
      <c r="C15" s="25">
        <f>SUM('Descuadres por cliente'!$G$53:$G$53)</f>
        <v/>
      </c>
      <c r="D15" s="25">
        <f>SUM('Descuadres por cliente'!$H$53:$H$53)</f>
        <v/>
      </c>
      <c r="E15" s="25">
        <f>SUM('Descuadres por cliente'!$I$53:$I$53)</f>
        <v/>
      </c>
      <c r="F15" s="25">
        <f>E15-D15</f>
        <v/>
      </c>
    </row>
    <row r="16">
      <c r="A16" s="10" t="inlineStr">
        <is>
          <t>FAUSTINO</t>
        </is>
      </c>
      <c r="B16" s="24">
        <f>COUNTA('Descuadres por cliente'!$C$57:$C$57)</f>
        <v/>
      </c>
      <c r="C16" s="25">
        <f>SUM('Descuadres por cliente'!$G$57:$G$57)</f>
        <v/>
      </c>
      <c r="D16" s="25">
        <f>SUM('Descuadres por cliente'!$H$57:$H$57)</f>
        <v/>
      </c>
      <c r="E16" s="25">
        <f>SUM('Descuadres por cliente'!$I$57:$I$57)</f>
        <v/>
      </c>
      <c r="F16" s="25">
        <f>E16-D16</f>
        <v/>
      </c>
    </row>
    <row r="17">
      <c r="A17" s="10" t="inlineStr">
        <is>
          <t>FERPASOL S.L</t>
        </is>
      </c>
      <c r="B17" s="24">
        <f>COUNTA('Descuadres por cliente'!$C$61:$C$61)</f>
        <v/>
      </c>
      <c r="C17" s="25">
        <f>SUM('Descuadres por cliente'!$G$61:$G$61)</f>
        <v/>
      </c>
      <c r="D17" s="25">
        <f>SUM('Descuadres por cliente'!$H$61:$H$61)</f>
        <v/>
      </c>
      <c r="E17" s="25">
        <f>SUM('Descuadres por cliente'!$I$61:$I$61)</f>
        <v/>
      </c>
      <c r="F17" s="25">
        <f>E17-D17</f>
        <v/>
      </c>
    </row>
    <row r="18">
      <c r="A18" s="10" t="inlineStr">
        <is>
          <t>FUERTECASA GRUPO INMOBILIARIO SOCIEDAD LIMITADA</t>
        </is>
      </c>
      <c r="B18" s="24">
        <f>COUNTA('Descuadres por cliente'!$C$65:$C$66)</f>
        <v/>
      </c>
      <c r="C18" s="25">
        <f>SUM('Descuadres por cliente'!$G$65:$G$66)</f>
        <v/>
      </c>
      <c r="D18" s="25">
        <f>SUM('Descuadres por cliente'!$H$65:$H$66)</f>
        <v/>
      </c>
      <c r="E18" s="25">
        <f>SUM('Descuadres por cliente'!$I$65:$I$66)</f>
        <v/>
      </c>
      <c r="F18" s="25">
        <f>E18-D18</f>
        <v/>
      </c>
    </row>
    <row r="19">
      <c r="A19" s="10" t="inlineStr">
        <is>
          <t>GEFUER SOCIEDAD LIMITADA</t>
        </is>
      </c>
      <c r="B19" s="24">
        <f>COUNTA('Descuadres por cliente'!$C$70:$C$70)</f>
        <v/>
      </c>
      <c r="C19" s="25">
        <f>SUM('Descuadres por cliente'!$G$70:$G$70)</f>
        <v/>
      </c>
      <c r="D19" s="25">
        <f>SUM('Descuadres por cliente'!$H$70:$H$70)</f>
        <v/>
      </c>
      <c r="E19" s="25">
        <f>SUM('Descuadres por cliente'!$I$70:$I$70)</f>
        <v/>
      </c>
      <c r="F19" s="25">
        <f>E19-D19</f>
        <v/>
      </c>
    </row>
    <row r="20">
      <c r="A20" s="10" t="inlineStr">
        <is>
          <t>GEOTECNIA PERFORACIONES DOMINGUEZ, S.L</t>
        </is>
      </c>
      <c r="B20" s="24">
        <f>COUNTA('Descuadres por cliente'!$C$74:$C$74)</f>
        <v/>
      </c>
      <c r="C20" s="25">
        <f>SUM('Descuadres por cliente'!$G$74:$G$74)</f>
        <v/>
      </c>
      <c r="D20" s="25">
        <f>SUM('Descuadres por cliente'!$H$74:$H$74)</f>
        <v/>
      </c>
      <c r="E20" s="25">
        <f>SUM('Descuadres por cliente'!$I$74:$I$74)</f>
        <v/>
      </c>
      <c r="F20" s="25">
        <f>E20-D20</f>
        <v/>
      </c>
    </row>
    <row r="21">
      <c r="A21" s="10" t="inlineStr">
        <is>
          <t>GRUPO SUPERIOR DE FORMACION CANARIAS SL</t>
        </is>
      </c>
      <c r="B21" s="24">
        <f>COUNTA('Descuadres por cliente'!$C$78:$C$78)</f>
        <v/>
      </c>
      <c r="C21" s="25">
        <f>SUM('Descuadres por cliente'!$G$78:$G$78)</f>
        <v/>
      </c>
      <c r="D21" s="25">
        <f>SUM('Descuadres por cliente'!$H$78:$H$78)</f>
        <v/>
      </c>
      <c r="E21" s="25">
        <f>SUM('Descuadres por cliente'!$I$78:$I$78)</f>
        <v/>
      </c>
      <c r="F21" s="25">
        <f>E21-D21</f>
        <v/>
      </c>
    </row>
    <row r="22">
      <c r="A22" s="10" t="inlineStr">
        <is>
          <t>HORPAVI 3000, S.L</t>
        </is>
      </c>
      <c r="B22" s="24">
        <f>COUNTA('Descuadres por cliente'!$C$82:$C$82)</f>
        <v/>
      </c>
      <c r="C22" s="25">
        <f>SUM('Descuadres por cliente'!$G$82:$G$82)</f>
        <v/>
      </c>
      <c r="D22" s="25">
        <f>SUM('Descuadres por cliente'!$H$82:$H$82)</f>
        <v/>
      </c>
      <c r="E22" s="25">
        <f>SUM('Descuadres por cliente'!$I$82:$I$82)</f>
        <v/>
      </c>
      <c r="F22" s="25">
        <f>E22-D22</f>
        <v/>
      </c>
    </row>
    <row r="23">
      <c r="A23" s="10" t="inlineStr">
        <is>
          <t>LUPIDOS MANAGENMENT, S.L.</t>
        </is>
      </c>
      <c r="B23" s="24">
        <f>COUNTA('Descuadres por cliente'!$C$86:$C$87)</f>
        <v/>
      </c>
      <c r="C23" s="25">
        <f>SUM('Descuadres por cliente'!$G$86:$G$87)</f>
        <v/>
      </c>
      <c r="D23" s="25">
        <f>SUM('Descuadres por cliente'!$H$86:$H$87)</f>
        <v/>
      </c>
      <c r="E23" s="25">
        <f>SUM('Descuadres por cliente'!$I$86:$I$87)</f>
        <v/>
      </c>
      <c r="F23" s="25">
        <f>E23-D23</f>
        <v/>
      </c>
    </row>
    <row r="24">
      <c r="A24" s="10" t="inlineStr">
        <is>
          <t>OBRAS PUBLICAS CANARIAS, S.L  OPC</t>
        </is>
      </c>
      <c r="B24" s="24">
        <f>COUNTA('Descuadres por cliente'!$C$91:$C$91)</f>
        <v/>
      </c>
      <c r="C24" s="25">
        <f>SUM('Descuadres por cliente'!$G$91:$G$91)</f>
        <v/>
      </c>
      <c r="D24" s="25">
        <f>SUM('Descuadres por cliente'!$H$91:$H$91)</f>
        <v/>
      </c>
      <c r="E24" s="25">
        <f>SUM('Descuadres por cliente'!$I$91:$I$91)</f>
        <v/>
      </c>
      <c r="F24" s="25">
        <f>E24-D24</f>
        <v/>
      </c>
    </row>
    <row r="25">
      <c r="A25" s="10" t="inlineStr">
        <is>
          <t>PLAYAS DE JANDIA SA</t>
        </is>
      </c>
      <c r="B25" s="24">
        <f>COUNTA('Descuadres por cliente'!$C$95:$C$98)</f>
        <v/>
      </c>
      <c r="C25" s="25">
        <f>SUM('Descuadres por cliente'!$G$95:$G$98)</f>
        <v/>
      </c>
      <c r="D25" s="25">
        <f>SUM('Descuadres por cliente'!$H$95:$H$98)</f>
        <v/>
      </c>
      <c r="E25" s="25">
        <f>SUM('Descuadres por cliente'!$I$95:$I$98)</f>
        <v/>
      </c>
      <c r="F25" s="25">
        <f>E25-D25</f>
        <v/>
      </c>
    </row>
    <row r="26">
      <c r="A26" s="10" t="inlineStr">
        <is>
          <t>PREFABRICADOS MARTIN BRITO S.L</t>
        </is>
      </c>
      <c r="B26" s="24">
        <f>COUNTA('Descuadres por cliente'!$C$102:$C$102)</f>
        <v/>
      </c>
      <c r="C26" s="25">
        <f>SUM('Descuadres por cliente'!$G$102:$G$102)</f>
        <v/>
      </c>
      <c r="D26" s="25">
        <f>SUM('Descuadres por cliente'!$H$102:$H$102)</f>
        <v/>
      </c>
      <c r="E26" s="25">
        <f>SUM('Descuadres por cliente'!$I$102:$I$102)</f>
        <v/>
      </c>
      <c r="F26" s="25">
        <f>E26-D26</f>
        <v/>
      </c>
    </row>
    <row r="27">
      <c r="A27" s="10" t="inlineStr">
        <is>
          <t>RANCHO JANDIA, S.L.</t>
        </is>
      </c>
      <c r="B27" s="24">
        <f>COUNTA('Descuadres por cliente'!$C$106:$C$106)</f>
        <v/>
      </c>
      <c r="C27" s="25">
        <f>SUM('Descuadres por cliente'!$G$106:$G$106)</f>
        <v/>
      </c>
      <c r="D27" s="25">
        <f>SUM('Descuadres por cliente'!$H$106:$H$106)</f>
        <v/>
      </c>
      <c r="E27" s="25">
        <f>SUM('Descuadres por cliente'!$I$106:$I$106)</f>
        <v/>
      </c>
      <c r="F27" s="25">
        <f>E27-D27</f>
        <v/>
      </c>
    </row>
    <row r="28">
      <c r="A28" s="10" t="inlineStr">
        <is>
          <t>RODRIGUEZ LOPEZ ALTAVISTA, S.L.</t>
        </is>
      </c>
      <c r="B28" s="24">
        <f>COUNTA('Descuadres por cliente'!$C$110:$C$111)</f>
        <v/>
      </c>
      <c r="C28" s="25">
        <f>SUM('Descuadres por cliente'!$G$110:$G$111)</f>
        <v/>
      </c>
      <c r="D28" s="25">
        <f>SUM('Descuadres por cliente'!$H$110:$H$111)</f>
        <v/>
      </c>
      <c r="E28" s="25">
        <f>SUM('Descuadres por cliente'!$I$110:$I$111)</f>
        <v/>
      </c>
      <c r="F28" s="25">
        <f>E28-D28</f>
        <v/>
      </c>
    </row>
    <row r="29">
      <c r="A29" s="10" t="inlineStr">
        <is>
          <t>SOLYMAR BEACH</t>
        </is>
      </c>
      <c r="B29" s="24">
        <f>COUNTA('Descuadres por cliente'!$C$115:$C$115)</f>
        <v/>
      </c>
      <c r="C29" s="25">
        <f>SUM('Descuadres por cliente'!$G$115:$G$115)</f>
        <v/>
      </c>
      <c r="D29" s="25">
        <f>SUM('Descuadres por cliente'!$H$115:$H$115)</f>
        <v/>
      </c>
      <c r="E29" s="25">
        <f>SUM('Descuadres por cliente'!$I$115:$I$115)</f>
        <v/>
      </c>
      <c r="F29" s="25">
        <f>E29-D29</f>
        <v/>
      </c>
    </row>
    <row r="30">
      <c r="A30" s="10" t="inlineStr">
        <is>
          <t>STEFAN  SCHOLZ.</t>
        </is>
      </c>
      <c r="B30" s="24">
        <f>COUNTA('Descuadres por cliente'!$C$119:$C$119)</f>
        <v/>
      </c>
      <c r="C30" s="25">
        <f>SUM('Descuadres por cliente'!$G$119:$G$119)</f>
        <v/>
      </c>
      <c r="D30" s="25">
        <f>SUM('Descuadres por cliente'!$H$119:$H$119)</f>
        <v/>
      </c>
      <c r="E30" s="25">
        <f>SUM('Descuadres por cliente'!$I$119:$I$119)</f>
        <v/>
      </c>
      <c r="F30" s="25">
        <f>E30-D30</f>
        <v/>
      </c>
    </row>
    <row r="31">
      <c r="A31" s="10" t="inlineStr">
        <is>
          <t>ZERO DID, S.L</t>
        </is>
      </c>
      <c r="B31" s="24">
        <f>COUNTA('Descuadres por cliente'!$C$123:$C$123)</f>
        <v/>
      </c>
      <c r="C31" s="25">
        <f>SUM('Descuadres por cliente'!$G$123:$G$123)</f>
        <v/>
      </c>
      <c r="D31" s="25">
        <f>SUM('Descuadres por cliente'!$H$123:$H$123)</f>
        <v/>
      </c>
      <c r="E31" s="25">
        <f>SUM('Descuadres por cliente'!$I$123:$I$123)</f>
        <v/>
      </c>
      <c r="F31" s="25">
        <f>E31-D31</f>
        <v/>
      </c>
    </row>
    <row r="32">
      <c r="A32" s="19" t="inlineStr">
        <is>
          <t>TOTAL</t>
        </is>
      </c>
      <c r="B32" s="26">
        <f>SUM(B5:B31)</f>
        <v/>
      </c>
      <c r="C32" s="21">
        <f>SUM(C5:C31)</f>
        <v/>
      </c>
      <c r="D32" s="21">
        <f>SUM(D5:D31)</f>
        <v/>
      </c>
      <c r="E32" s="21">
        <f>SUM(E5:E31)</f>
        <v/>
      </c>
      <c r="F32" s="21">
        <f>SUM(F5:F31)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30" customWidth="1" min="1" max="1"/>
    <col width="105" customWidth="1" min="2" max="2"/>
  </cols>
  <sheetData>
    <row r="1">
      <c r="A1" s="22" t="inlineStr">
        <is>
          <t>Como leer este listado</t>
        </is>
      </c>
    </row>
    <row r="3">
      <c r="A3" s="27" t="inlineStr">
        <is>
          <t>Que es esto</t>
        </is>
      </c>
    </row>
    <row r="4" ht="42" customHeight="1">
      <c r="B4" s="28" t="inlineStr">
        <is>
          <t>Cada factura de aqui tiene dos cifras de lo cobrado que no coinciden: la casilla "importe cobrado" de su ficha, y lo que suman los cobros anotados uno a uno. Hay que decidir cual es la buena.</t>
        </is>
      </c>
    </row>
    <row r="6">
      <c r="A6" s="27" t="inlineStr">
        <is>
          <t>Donde escribes tu</t>
        </is>
      </c>
    </row>
    <row r="7" ht="28" customHeight="1">
      <c r="B7" s="28" t="inlineStr">
        <is>
          <t>En las dos columnas amarillas de la otra hoja: "Cual es el bueno" (con desplegable) y "Notas". El resto no hay que tocarlo.</t>
        </is>
      </c>
    </row>
    <row r="9">
      <c r="A9" s="27" t="inlineStr">
        <is>
          <t>Las opciones del desplegable</t>
        </is>
      </c>
    </row>
    <row r="10" ht="15" customHeight="1">
      <c r="A10" s="27" t="inlineStr">
        <is>
          <t>La casilla de la ficha</t>
        </is>
      </c>
      <c r="B10" s="28" t="inlineStr">
        <is>
          <t>La cifra buena es la de la ficha. Entonces faltan cobros por anotar en el panel.</t>
        </is>
      </c>
    </row>
    <row r="11" ht="15" customHeight="1">
      <c r="A11" s="27" t="inlineStr">
        <is>
          <t>Los cobros anotados</t>
        </is>
      </c>
      <c r="B11" s="28" t="inlineStr">
        <is>
          <t>La cifra buena es la suma de los cobros. Entonces hay que corregir la casilla de la ficha.</t>
        </is>
      </c>
    </row>
    <row r="12" ht="15" customHeight="1">
      <c r="A12" s="27" t="inlineStr">
        <is>
          <t>Hay cobros sin anotar</t>
        </is>
      </c>
      <c r="B12" s="28" t="inlineStr">
        <is>
          <t>Se cobro de verdad, pero ese cobro no llego nunca al panel. Hay que meterlo con su fecha.</t>
        </is>
      </c>
    </row>
    <row r="13" ht="15" customHeight="1">
      <c r="A13" s="27" t="inlineStr">
        <is>
          <t>Es confirming o factoring</t>
        </is>
      </c>
      <c r="B13" s="28" t="inlineStr">
        <is>
          <t>El dinero entro por el banco de otra manera y por eso no hay cobro anotado.</t>
        </is>
      </c>
    </row>
    <row r="14" ht="15" customHeight="1">
      <c r="A14" s="27" t="inlineStr">
        <is>
          <t>Otra cosa - ver notas</t>
        </is>
      </c>
      <c r="B14" s="28" t="inlineStr">
        <is>
          <t>Cualquier otro caso. Explicalo en la columna de Notas.</t>
        </is>
      </c>
    </row>
    <row r="16">
      <c r="A16" s="27" t="inlineStr">
        <is>
          <t>Lo que NO pasa</t>
        </is>
      </c>
    </row>
    <row r="17" ht="56" customHeight="1">
      <c r="B17" s="28" t="inlineStr">
        <is>
          <t>Esto no hace que nadie aparezca debiendo de mas. El informe de pendientes de cobro se queda siempre con la mayor de las dos cifras, asi que la deuda que ves es la buena. El descuadre solo enganya a lo que lea la casilla directamente, como le paso al expediente de HUBARA el 21/09/2026.</t>
        </is>
      </c>
    </row>
    <row r="19">
      <c r="A19" s="27" t="inlineStr">
        <is>
          <t>De donde sale</t>
        </is>
      </c>
    </row>
    <row r="20" ht="42" customHeight="1">
      <c r="B20" s="28" t="inlineStr">
        <is>
          <t>De la base del panel, el 21/09/2026: facturas_venta.importe_cobrado frente a la suma de la tabla cobros. Se sacaron las que se diferencian en mas de un centimo y tienen al menos un cobro anotado.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2026-09-21T19:56:21Z</dcterms:created>
  <dcterms:modified xsi:type="dcterms:W3CDTF">2026-09-21T19:56:21Z</dcterms:modified>
</cp:coreProperties>
</file>